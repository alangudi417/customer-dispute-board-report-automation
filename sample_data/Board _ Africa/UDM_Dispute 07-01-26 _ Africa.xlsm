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4. Board Report\Boards\Board _ Africa\"/>
    </mc:Choice>
  </mc:AlternateContent>
  <xr:revisionPtr revIDLastSave="0" documentId="13_ncr:1_{4CE58178-AF4E-4B19-8BE7-5568ABEE779C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anager" sheetId="13" r:id="rId1"/>
    <sheet name="Data" sheetId="12" r:id="rId2"/>
    <sheet name="Pivot" sheetId="11" r:id="rId3"/>
    <sheet name="Open" sheetId="10" r:id="rId4"/>
  </sheets>
  <definedNames>
    <definedName name="ExternalData_1" localSheetId="3" hidden="1">Open!#REF!</definedName>
    <definedName name="ExternalData_2" localSheetId="3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2" l="1"/>
  <c r="B4" i="12"/>
  <c r="B5" i="12"/>
  <c r="B6" i="12"/>
  <c r="B7" i="12"/>
  <c r="B8" i="12"/>
  <c r="B9" i="12"/>
  <c r="B10" i="12"/>
  <c r="B11" i="12"/>
  <c r="B2" i="12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106" i="10"/>
  <c r="AE107" i="10"/>
  <c r="AE108" i="10"/>
  <c r="AE109" i="10"/>
  <c r="AE110" i="10"/>
  <c r="AE111" i="10"/>
  <c r="AE112" i="10"/>
  <c r="AE113" i="10"/>
  <c r="AE114" i="10"/>
  <c r="AE115" i="10"/>
  <c r="AE116" i="10"/>
  <c r="AE117" i="10"/>
  <c r="AE118" i="10"/>
  <c r="AE119" i="10"/>
  <c r="AE120" i="10"/>
  <c r="AE121" i="10"/>
  <c r="AE122" i="10"/>
  <c r="AE123" i="10"/>
  <c r="AE124" i="10"/>
  <c r="AE125" i="10"/>
  <c r="AE126" i="10"/>
  <c r="AE127" i="10"/>
  <c r="AE128" i="10"/>
  <c r="AE129" i="10"/>
  <c r="AE130" i="10"/>
  <c r="AE131" i="10"/>
  <c r="AE132" i="10"/>
  <c r="AE133" i="10"/>
  <c r="AE134" i="10"/>
  <c r="AE135" i="10"/>
  <c r="AE136" i="10"/>
  <c r="AE137" i="10"/>
  <c r="AE138" i="10"/>
  <c r="AE139" i="10"/>
  <c r="AE140" i="10"/>
  <c r="AE141" i="10"/>
  <c r="AE142" i="10"/>
  <c r="AE143" i="10"/>
  <c r="AE144" i="10"/>
  <c r="AE145" i="10"/>
  <c r="AE146" i="10"/>
  <c r="AE147" i="10"/>
  <c r="AE148" i="10"/>
  <c r="AE149" i="10"/>
  <c r="AE150" i="10"/>
  <c r="AE151" i="10"/>
  <c r="AE152" i="10"/>
  <c r="AE153" i="10"/>
  <c r="AE154" i="10"/>
  <c r="AE155" i="10"/>
  <c r="AE156" i="10"/>
  <c r="AE157" i="10"/>
  <c r="AE158" i="10"/>
  <c r="AE159" i="10"/>
  <c r="AE160" i="10"/>
  <c r="AE161" i="10"/>
  <c r="AE162" i="10"/>
  <c r="AE163" i="10"/>
  <c r="AE164" i="10"/>
  <c r="AE165" i="10"/>
  <c r="AE166" i="10"/>
  <c r="AE167" i="10"/>
  <c r="AE168" i="10"/>
  <c r="AE169" i="10"/>
  <c r="AE170" i="10"/>
  <c r="AE171" i="10"/>
  <c r="AE172" i="10"/>
  <c r="AE173" i="10"/>
  <c r="AE174" i="10"/>
  <c r="AE175" i="10"/>
  <c r="AE176" i="10"/>
  <c r="AE177" i="10"/>
  <c r="AE178" i="10"/>
  <c r="AE179" i="10"/>
  <c r="AE180" i="10"/>
  <c r="AE181" i="10"/>
  <c r="AE182" i="10"/>
  <c r="AE183" i="10"/>
  <c r="AE184" i="10"/>
  <c r="AE185" i="10"/>
  <c r="AE186" i="10"/>
  <c r="AE187" i="10"/>
  <c r="AE188" i="10"/>
  <c r="AE189" i="10"/>
  <c r="AE190" i="10"/>
  <c r="AE191" i="10"/>
  <c r="AE192" i="10"/>
  <c r="AE193" i="10"/>
  <c r="AE194" i="10"/>
  <c r="AE195" i="10"/>
  <c r="AE196" i="10"/>
  <c r="AE197" i="10"/>
  <c r="AE198" i="10"/>
  <c r="AE199" i="10"/>
  <c r="AE200" i="10"/>
  <c r="AE201" i="10"/>
  <c r="AE202" i="10"/>
  <c r="AE203" i="10"/>
  <c r="AE204" i="10"/>
  <c r="AE205" i="10"/>
  <c r="AE206" i="10"/>
  <c r="AE207" i="10"/>
  <c r="AE208" i="10"/>
  <c r="AE209" i="10"/>
  <c r="AE210" i="10"/>
  <c r="AE211" i="10"/>
  <c r="AE212" i="10"/>
  <c r="AE213" i="10"/>
  <c r="AE214" i="10"/>
  <c r="AE215" i="10"/>
  <c r="AE216" i="10"/>
  <c r="AE217" i="10"/>
  <c r="AE218" i="10"/>
  <c r="AE219" i="10"/>
  <c r="AE220" i="10"/>
  <c r="AE221" i="10"/>
  <c r="AE222" i="10"/>
  <c r="AE223" i="10"/>
  <c r="AE224" i="10"/>
  <c r="AE225" i="10"/>
  <c r="AE226" i="10"/>
  <c r="AE227" i="10"/>
  <c r="AE228" i="10"/>
  <c r="AE229" i="10"/>
  <c r="AE230" i="10"/>
  <c r="AE231" i="10"/>
  <c r="AE232" i="10"/>
  <c r="AE233" i="10"/>
  <c r="AE234" i="10"/>
  <c r="AE235" i="10"/>
  <c r="AE236" i="10"/>
  <c r="AE237" i="10"/>
  <c r="AE238" i="10"/>
  <c r="AE239" i="10"/>
  <c r="AE240" i="10"/>
  <c r="AE241" i="10"/>
  <c r="AE242" i="10"/>
  <c r="AE243" i="10"/>
  <c r="AE244" i="10"/>
  <c r="AE245" i="10"/>
  <c r="AE246" i="10"/>
  <c r="AE247" i="10"/>
  <c r="AE248" i="10"/>
  <c r="AE249" i="10"/>
  <c r="AE250" i="10"/>
  <c r="AE251" i="10"/>
  <c r="AE252" i="10"/>
  <c r="AE253" i="10"/>
  <c r="AE254" i="10"/>
  <c r="AE255" i="10"/>
  <c r="AE256" i="10"/>
  <c r="AE257" i="10"/>
  <c r="AE258" i="10"/>
  <c r="AE259" i="10"/>
  <c r="AE260" i="10"/>
  <c r="AE261" i="10"/>
  <c r="AE262" i="10"/>
  <c r="AE263" i="10"/>
  <c r="AE264" i="10"/>
  <c r="AE265" i="10"/>
  <c r="AE266" i="10"/>
  <c r="AE267" i="10"/>
  <c r="AE268" i="10"/>
  <c r="AE269" i="10"/>
  <c r="AE270" i="10"/>
  <c r="AE271" i="10"/>
  <c r="AE272" i="10"/>
  <c r="AE273" i="10"/>
  <c r="AE274" i="10"/>
  <c r="AE275" i="10"/>
  <c r="AE276" i="10"/>
  <c r="AE277" i="10"/>
  <c r="AE278" i="10"/>
  <c r="AE279" i="10"/>
  <c r="AE280" i="10"/>
  <c r="AE281" i="10"/>
  <c r="AE282" i="10"/>
  <c r="AE283" i="10"/>
  <c r="AE284" i="10"/>
  <c r="AE285" i="10"/>
  <c r="AE286" i="10"/>
  <c r="AE287" i="10"/>
  <c r="AE288" i="10"/>
  <c r="AE289" i="10"/>
  <c r="AE290" i="10"/>
  <c r="AE291" i="10"/>
  <c r="AE292" i="10"/>
  <c r="AE293" i="10"/>
  <c r="AE294" i="10"/>
  <c r="AE295" i="10"/>
  <c r="AE296" i="10"/>
  <c r="AE297" i="10"/>
  <c r="AE298" i="10"/>
  <c r="AE299" i="10"/>
  <c r="AE300" i="10"/>
  <c r="AE301" i="10"/>
  <c r="AE302" i="10"/>
  <c r="AE303" i="10"/>
  <c r="AE304" i="10"/>
  <c r="AE305" i="10"/>
  <c r="AE2" i="10"/>
  <c r="AC2" i="10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</calcChain>
</file>

<file path=xl/sharedStrings.xml><?xml version="1.0" encoding="utf-8"?>
<sst xmlns="http://schemas.openxmlformats.org/spreadsheetml/2006/main" count="6155" uniqueCount="1068">
  <si>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</si>
  <si>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</si>
  <si>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</si>
  <si>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</si>
  <si>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</si>
  <si>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</si>
  <si>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</si>
  <si>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</si>
  <si>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</si>
  <si>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</si>
  <si>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</si>
  <si>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</si>
  <si>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</si>
  <si>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</si>
  <si>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</si>
  <si>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</si>
  <si>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</si>
  <si>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</si>
  <si>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</si>
  <si>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</si>
  <si>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</si>
  <si>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</si>
  <si>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</si>
  <si>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</si>
  <si>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</si>
  <si>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</si>
  <si>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</si>
  <si>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</si>
  <si>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</si>
  <si>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</si>
  <si>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</si>
  <si>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</si>
  <si>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</si>
  <si>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</si>
  <si>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</si>
  <si>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</si>
  <si>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Cancelled Order</t>
  </si>
  <si>
    <t>CN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</si>
  <si>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</si>
  <si>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</si>
  <si>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</si>
  <si>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</si>
  <si>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</si>
  <si>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</si>
  <si>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</si>
  <si>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</si>
  <si>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</si>
  <si>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</si>
  <si>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</si>
  <si>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</si>
  <si>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</si>
  <si>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</si>
  <si>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</si>
  <si>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PO Closed</t>
  </si>
  <si>
    <t>PC</t>
  </si>
  <si>
    <t>No</t>
  </si>
  <si>
    <t>Wrong PO Number</t>
  </si>
  <si>
    <t>WP</t>
  </si>
  <si>
    <t>Freight</t>
  </si>
  <si>
    <t>FR</t>
  </si>
  <si>
    <t>Lack of Response</t>
  </si>
  <si>
    <t>LR</t>
  </si>
  <si>
    <t>Credit Memo Not Open</t>
  </si>
  <si>
    <t>NC</t>
  </si>
  <si>
    <t>Deducted Tax</t>
  </si>
  <si>
    <t>TAX</t>
  </si>
  <si>
    <t>Sales Team</t>
  </si>
  <si>
    <t>90+</t>
  </si>
  <si>
    <t>60+</t>
  </si>
  <si>
    <t>&lt;60</t>
  </si>
  <si>
    <t>Fuel Surcharge</t>
  </si>
  <si>
    <t>FSC</t>
  </si>
  <si>
    <t>Credit Team</t>
  </si>
  <si>
    <t>Tax Team</t>
  </si>
  <si>
    <t>Materials Team</t>
  </si>
  <si>
    <t>Under Materials Team validation</t>
  </si>
  <si>
    <t>PO4000006714</t>
  </si>
  <si>
    <t>SO90111806714</t>
  </si>
  <si>
    <t>50111827684</t>
  </si>
  <si>
    <t>Under Sales Team validation</t>
  </si>
  <si>
    <t>Manager</t>
  </si>
  <si>
    <t>A100</t>
  </si>
  <si>
    <t>AFRA100</t>
  </si>
  <si>
    <t>A100-141</t>
  </si>
  <si>
    <t>Africa</t>
  </si>
  <si>
    <t>PO0925171630</t>
  </si>
  <si>
    <t>SO90112071630</t>
  </si>
  <si>
    <t>50112092510</t>
  </si>
  <si>
    <t>1355937</t>
  </si>
  <si>
    <t>GE A 5937</t>
  </si>
  <si>
    <t>Andrew Ross</t>
  </si>
  <si>
    <t>Patrick Hayes</t>
  </si>
  <si>
    <t>PO3006012859</t>
  </si>
  <si>
    <t>SO91112112859</t>
  </si>
  <si>
    <t>51112141849</t>
  </si>
  <si>
    <t>PO3006054088</t>
  </si>
  <si>
    <t>SO91113054088</t>
  </si>
  <si>
    <t>51113002478</t>
  </si>
  <si>
    <t>Emily Coleman</t>
  </si>
  <si>
    <t>PO4000295317</t>
  </si>
  <si>
    <t>SO91108095317</t>
  </si>
  <si>
    <t>51108086197</t>
  </si>
  <si>
    <t>Sophia Turner</t>
  </si>
  <si>
    <t>Olivia Jenkins</t>
  </si>
  <si>
    <t>PO2376777775</t>
  </si>
  <si>
    <t>SO90112477775</t>
  </si>
  <si>
    <t>50112414225</t>
  </si>
  <si>
    <t>Charles Benson</t>
  </si>
  <si>
    <t>Mason Reynolds</t>
  </si>
  <si>
    <t>PO8454560233</t>
  </si>
  <si>
    <t>SO90112860233</t>
  </si>
  <si>
    <t>50112845453</t>
  </si>
  <si>
    <t>Under Credit Team validation</t>
  </si>
  <si>
    <t>James Mitchell</t>
  </si>
  <si>
    <t>PO4000001462</t>
  </si>
  <si>
    <t>SO90112801462</t>
  </si>
  <si>
    <t>50112882932</t>
  </si>
  <si>
    <t>PO2448483920</t>
  </si>
  <si>
    <t>SO90112883920</t>
  </si>
  <si>
    <t>50112882930</t>
  </si>
  <si>
    <t>PO4000072523</t>
  </si>
  <si>
    <t>SO91121172523</t>
  </si>
  <si>
    <t>51121113173</t>
  </si>
  <si>
    <t>Liam Matthews</t>
  </si>
  <si>
    <t>PO4000096210</t>
  </si>
  <si>
    <t>SO91121296210</t>
  </si>
  <si>
    <t>51121260740</t>
  </si>
  <si>
    <t>Ella Bennett</t>
  </si>
  <si>
    <t>PO3967802355</t>
  </si>
  <si>
    <t>SO90113302355</t>
  </si>
  <si>
    <t>50113396785</t>
  </si>
  <si>
    <t>Eli Hudson</t>
  </si>
  <si>
    <t>Connor Bishop</t>
  </si>
  <si>
    <t>PO4000067271</t>
  </si>
  <si>
    <t>SO91123867271</t>
  </si>
  <si>
    <t>51123853671</t>
  </si>
  <si>
    <t>Taylor Jennings</t>
  </si>
  <si>
    <t>Dominic Flores</t>
  </si>
  <si>
    <t>PO4000055874</t>
  </si>
  <si>
    <t>SO91125455874</t>
  </si>
  <si>
    <t>51125487144</t>
  </si>
  <si>
    <t>PO3020520790</t>
  </si>
  <si>
    <t>SO91126820790</t>
  </si>
  <si>
    <t>51126815540</t>
  </si>
  <si>
    <t>PO4000062019</t>
  </si>
  <si>
    <t>SO91126862019</t>
  </si>
  <si>
    <t>51126816369</t>
  </si>
  <si>
    <t>PO9697144477</t>
  </si>
  <si>
    <t>SO90113944477</t>
  </si>
  <si>
    <t>50113969717</t>
  </si>
  <si>
    <t>PO1966509393</t>
  </si>
  <si>
    <t>SO90114109393</t>
  </si>
  <si>
    <t>50114196653</t>
  </si>
  <si>
    <t>PO3020774309</t>
  </si>
  <si>
    <t>SO91130974309</t>
  </si>
  <si>
    <t>51130936049</t>
  </si>
  <si>
    <t>PO4418115538</t>
  </si>
  <si>
    <t>SO91128315538</t>
  </si>
  <si>
    <t>51128354018</t>
  </si>
  <si>
    <t>PO4000056767</t>
  </si>
  <si>
    <t>SO91132256767</t>
  </si>
  <si>
    <t>51132294047</t>
  </si>
  <si>
    <t>PO4000027828</t>
  </si>
  <si>
    <t>SO91133927828</t>
  </si>
  <si>
    <t>51133918258</t>
  </si>
  <si>
    <t>POC220792744</t>
  </si>
  <si>
    <t>SO90114592744</t>
  </si>
  <si>
    <t>50114552594</t>
  </si>
  <si>
    <t>PO4417533973</t>
  </si>
  <si>
    <t>SO91129233973</t>
  </si>
  <si>
    <t>51129213383</t>
  </si>
  <si>
    <t>PO3008875202</t>
  </si>
  <si>
    <t>SO91134775202</t>
  </si>
  <si>
    <t>51134786532</t>
  </si>
  <si>
    <t>POC220898889</t>
  </si>
  <si>
    <t>SO91131298889</t>
  </si>
  <si>
    <t>51131284889</t>
  </si>
  <si>
    <t>POC220923469</t>
  </si>
  <si>
    <t>SO91132023469</t>
  </si>
  <si>
    <t>51132028899</t>
  </si>
  <si>
    <t>PO3006088385</t>
  </si>
  <si>
    <t>SO91137788385</t>
  </si>
  <si>
    <t>51137782005</t>
  </si>
  <si>
    <t>POC221012072</t>
  </si>
  <si>
    <t>SO91133712072</t>
  </si>
  <si>
    <t>51133797972</t>
  </si>
  <si>
    <t>POC221100675</t>
  </si>
  <si>
    <t>SO91134600675</t>
  </si>
  <si>
    <t>51134600075</t>
  </si>
  <si>
    <t>PO1221271736</t>
  </si>
  <si>
    <t>SO90115171736</t>
  </si>
  <si>
    <t>50115122126</t>
  </si>
  <si>
    <t>PO7472025255</t>
  </si>
  <si>
    <t>SO91127425255</t>
  </si>
  <si>
    <t>51127489015</t>
  </si>
  <si>
    <t>PO4416990171</t>
  </si>
  <si>
    <t>SO91136390171</t>
  </si>
  <si>
    <t>51136369641</t>
  </si>
  <si>
    <t>PO4417849835</t>
  </si>
  <si>
    <t>SO91137349835</t>
  </si>
  <si>
    <t>51137319015</t>
  </si>
  <si>
    <t>POC230287598</t>
  </si>
  <si>
    <t>SO91137787598</t>
  </si>
  <si>
    <t>51137732708</t>
  </si>
  <si>
    <t>PO4000034972</t>
  </si>
  <si>
    <t>SO91142334972</t>
  </si>
  <si>
    <t>51142368022</t>
  </si>
  <si>
    <t>PO4000076201</t>
  </si>
  <si>
    <t>SO91142776201</t>
  </si>
  <si>
    <t>51142703931</t>
  </si>
  <si>
    <t>PO4419217430</t>
  </si>
  <si>
    <t>SO91139217430</t>
  </si>
  <si>
    <t>51139269100</t>
  </si>
  <si>
    <t>PO4716358659</t>
  </si>
  <si>
    <t>SO90115458659</t>
  </si>
  <si>
    <t>50115471639</t>
  </si>
  <si>
    <t>PO0441235865</t>
  </si>
  <si>
    <t>SO94107035865</t>
  </si>
  <si>
    <t>54107044125</t>
  </si>
  <si>
    <t>PO3006018323</t>
  </si>
  <si>
    <t>SO91143318323</t>
  </si>
  <si>
    <t>51143318033</t>
  </si>
  <si>
    <t>PO4416859552</t>
  </si>
  <si>
    <t>SO91135159552</t>
  </si>
  <si>
    <t>51135181752</t>
  </si>
  <si>
    <t>PO4419142010</t>
  </si>
  <si>
    <t>SO91138842010</t>
  </si>
  <si>
    <t>51138899690</t>
  </si>
  <si>
    <t>PO4417483239</t>
  </si>
  <si>
    <t>SO91139383239</t>
  </si>
  <si>
    <t>51139319869</t>
  </si>
  <si>
    <t>PO4419224468</t>
  </si>
  <si>
    <t>SO91140324468</t>
  </si>
  <si>
    <t>51140310188</t>
  </si>
  <si>
    <t>PO4419360445</t>
  </si>
  <si>
    <t>SO91140860445</t>
  </si>
  <si>
    <t>51140866355</t>
  </si>
  <si>
    <t>PO4419237651</t>
  </si>
  <si>
    <t>SO91141037651</t>
  </si>
  <si>
    <t>51141079771</t>
  </si>
  <si>
    <t>PO4419178880</t>
  </si>
  <si>
    <t>SO91141078880</t>
  </si>
  <si>
    <t>51141079730</t>
  </si>
  <si>
    <t>PO4417768376</t>
  </si>
  <si>
    <t>SO91141068376</t>
  </si>
  <si>
    <t>51141065656</t>
  </si>
  <si>
    <t>PO4417792063</t>
  </si>
  <si>
    <t>SO91139892063</t>
  </si>
  <si>
    <t>51139880723</t>
  </si>
  <si>
    <t>PO4417033292</t>
  </si>
  <si>
    <t>SO91140433292</t>
  </si>
  <si>
    <t>51140498972</t>
  </si>
  <si>
    <t>PO4418174521</t>
  </si>
  <si>
    <t>SO91140774521</t>
  </si>
  <si>
    <t>51140756341</t>
  </si>
  <si>
    <t>PO4417815750</t>
  </si>
  <si>
    <t>SO91140615750</t>
  </si>
  <si>
    <t>51140650860</t>
  </si>
  <si>
    <t>PO4418956979</t>
  </si>
  <si>
    <t>SO91141156979</t>
  </si>
  <si>
    <t>51141170629</t>
  </si>
  <si>
    <t>PO4417198208</t>
  </si>
  <si>
    <t>SO91141398208</t>
  </si>
  <si>
    <t>51141333538</t>
  </si>
  <si>
    <t>PO4418939437</t>
  </si>
  <si>
    <t>SO91140639437</t>
  </si>
  <si>
    <t>51140699107</t>
  </si>
  <si>
    <t>PO4417080666</t>
  </si>
  <si>
    <t>SO91140480666</t>
  </si>
  <si>
    <t>51140422056</t>
  </si>
  <si>
    <t>PO4417621895</t>
  </si>
  <si>
    <t>SO91141121895</t>
  </si>
  <si>
    <t>51141124605</t>
  </si>
  <si>
    <t>PO4417063124</t>
  </si>
  <si>
    <t>SO91141263124</t>
  </si>
  <si>
    <t>51141221514</t>
  </si>
  <si>
    <t>PO4417704353</t>
  </si>
  <si>
    <t>SO91139804353</t>
  </si>
  <si>
    <t>51139880693</t>
  </si>
  <si>
    <t>PO4418645582</t>
  </si>
  <si>
    <t>SO91141145582</t>
  </si>
  <si>
    <t>51141124582</t>
  </si>
  <si>
    <t>PO4417886811</t>
  </si>
  <si>
    <t>SO91140286811</t>
  </si>
  <si>
    <t>51140217471</t>
  </si>
  <si>
    <t>PO4417128040</t>
  </si>
  <si>
    <t>SO91141228040</t>
  </si>
  <si>
    <t>51141221580</t>
  </si>
  <si>
    <t>PO4417869269</t>
  </si>
  <si>
    <t>SO91141169269</t>
  </si>
  <si>
    <t>51141103759</t>
  </si>
  <si>
    <t>PO6714210498</t>
  </si>
  <si>
    <t>SO90115610498</t>
  </si>
  <si>
    <t>50115671428</t>
  </si>
  <si>
    <t>PO4417051727</t>
  </si>
  <si>
    <t>SO91140951727</t>
  </si>
  <si>
    <t>51140933487</t>
  </si>
  <si>
    <t>PO3006092956</t>
  </si>
  <si>
    <t>SO91145192956</t>
  </si>
  <si>
    <t>51145127686</t>
  </si>
  <si>
    <t>PO8036834185</t>
  </si>
  <si>
    <t>SO90115834185</t>
  </si>
  <si>
    <t>50115803685</t>
  </si>
  <si>
    <t>PO4000175414</t>
  </si>
  <si>
    <t>SO91133475414</t>
  </si>
  <si>
    <t>51133426574</t>
  </si>
  <si>
    <t>Aiden Harper</t>
  </si>
  <si>
    <t>POON EX16643</t>
  </si>
  <si>
    <t>SO91125216643</t>
  </si>
  <si>
    <t>51125249803</t>
  </si>
  <si>
    <t>Jackson Norris</t>
  </si>
  <si>
    <t>POON EX57872</t>
  </si>
  <si>
    <t>SO91125157872</t>
  </si>
  <si>
    <t>51125154672</t>
  </si>
  <si>
    <t>Leah Pearson</t>
  </si>
  <si>
    <t>POON EX99101</t>
  </si>
  <si>
    <t>SO91125199101</t>
  </si>
  <si>
    <t>51125154771</t>
  </si>
  <si>
    <t>Brooke Palmer</t>
  </si>
  <si>
    <t>POON EX40330</t>
  </si>
  <si>
    <t>SO91125140330</t>
  </si>
  <si>
    <t>51125154760</t>
  </si>
  <si>
    <t>Grace Whitaker</t>
  </si>
  <si>
    <t>POON EX81559</t>
  </si>
  <si>
    <t>SO91125181559</t>
  </si>
  <si>
    <t>51125154809</t>
  </si>
  <si>
    <t>POON EX22788</t>
  </si>
  <si>
    <t>SO91125122788</t>
  </si>
  <si>
    <t>51125154798</t>
  </si>
  <si>
    <t>POON EX64017</t>
  </si>
  <si>
    <t>SO91125164017</t>
  </si>
  <si>
    <t>51125154817</t>
  </si>
  <si>
    <t>POON EX05246</t>
  </si>
  <si>
    <t>SO91125105246</t>
  </si>
  <si>
    <t>51125154716</t>
  </si>
  <si>
    <t>POON EX46475</t>
  </si>
  <si>
    <t>SO91125146475</t>
  </si>
  <si>
    <t>51125154625</t>
  </si>
  <si>
    <t>POEXPEN87704</t>
  </si>
  <si>
    <t>SO91125187704</t>
  </si>
  <si>
    <t>51125154654</t>
  </si>
  <si>
    <t>POON EX28933</t>
  </si>
  <si>
    <t>SO91125128933</t>
  </si>
  <si>
    <t>51125154663</t>
  </si>
  <si>
    <t>POON EX70162</t>
  </si>
  <si>
    <t>SO91125170162</t>
  </si>
  <si>
    <t>51125154692</t>
  </si>
  <si>
    <t>POON EX11391</t>
  </si>
  <si>
    <t>SO91125111391</t>
  </si>
  <si>
    <t>51125154721</t>
  </si>
  <si>
    <t>POON EX52620</t>
  </si>
  <si>
    <t>SO91125152620</t>
  </si>
  <si>
    <t>51125154700</t>
  </si>
  <si>
    <t>POON EX93849</t>
  </si>
  <si>
    <t>SO91125193849</t>
  </si>
  <si>
    <t>51125154739</t>
  </si>
  <si>
    <t>POON EX35078</t>
  </si>
  <si>
    <t>SO91125135078</t>
  </si>
  <si>
    <t>51125154788</t>
  </si>
  <si>
    <t>POON EX76307</t>
  </si>
  <si>
    <t>SO91125176307</t>
  </si>
  <si>
    <t>51125154747</t>
  </si>
  <si>
    <t>POON EX17536</t>
  </si>
  <si>
    <t>SO91125117536</t>
  </si>
  <si>
    <t>51125154686</t>
  </si>
  <si>
    <t>POON EX58765</t>
  </si>
  <si>
    <t>SO91125158765</t>
  </si>
  <si>
    <t>51125154635</t>
  </si>
  <si>
    <t>POON EX99994</t>
  </si>
  <si>
    <t>SO91125199994</t>
  </si>
  <si>
    <t>51125154754</t>
  </si>
  <si>
    <t>POON EX41223</t>
  </si>
  <si>
    <t>SO91125241223</t>
  </si>
  <si>
    <t>51125249813</t>
  </si>
  <si>
    <t>POON EX82452</t>
  </si>
  <si>
    <t>SO91125182452</t>
  </si>
  <si>
    <t>51125154822</t>
  </si>
  <si>
    <t>PO7820023681</t>
  </si>
  <si>
    <t>SO90115723681</t>
  </si>
  <si>
    <t>50115782001</t>
  </si>
  <si>
    <t>SO91146064910</t>
  </si>
  <si>
    <t>51146078140</t>
  </si>
  <si>
    <t>PO4416206139</t>
  </si>
  <si>
    <t>SO91141006139</t>
  </si>
  <si>
    <t>51141037279</t>
  </si>
  <si>
    <t>PO4419347368</t>
  </si>
  <si>
    <t>SO91141147368</t>
  </si>
  <si>
    <t>51141112808</t>
  </si>
  <si>
    <t>PO4418895635</t>
  </si>
  <si>
    <t>SO91142195635</t>
  </si>
  <si>
    <t>51142130555</t>
  </si>
  <si>
    <t>PO4417249154</t>
  </si>
  <si>
    <t>SO91127649154</t>
  </si>
  <si>
    <t>51127664074</t>
  </si>
  <si>
    <t>PO4419308818</t>
  </si>
  <si>
    <t>SO91142708818</t>
  </si>
  <si>
    <t>51142739298</t>
  </si>
  <si>
    <t>PO4419532505</t>
  </si>
  <si>
    <t>SO91142832505</t>
  </si>
  <si>
    <t>51142801605</t>
  </si>
  <si>
    <t>PO4419414963</t>
  </si>
  <si>
    <t>SO91142414963</t>
  </si>
  <si>
    <t>51142436833</t>
  </si>
  <si>
    <t>1023247</t>
  </si>
  <si>
    <t>HONE 3247</t>
  </si>
  <si>
    <t>Paige Sullivan</t>
  </si>
  <si>
    <t>PO39P0215856</t>
  </si>
  <si>
    <t>SO91146915856</t>
  </si>
  <si>
    <t>51146974486</t>
  </si>
  <si>
    <t>PO4416771161</t>
  </si>
  <si>
    <t>SO91128271161</t>
  </si>
  <si>
    <t>51128294191</t>
  </si>
  <si>
    <t>PO4418083451</t>
  </si>
  <si>
    <t>SO91144983451</t>
  </si>
  <si>
    <t>51144958601</t>
  </si>
  <si>
    <t>PO4419601886</t>
  </si>
  <si>
    <t>SO91143101886</t>
  </si>
  <si>
    <t>51143193376</t>
  </si>
  <si>
    <t>PO4416943115</t>
  </si>
  <si>
    <t>SO91144143115</t>
  </si>
  <si>
    <t>51144104705</t>
  </si>
  <si>
    <t>PO4498884344</t>
  </si>
  <si>
    <t>SO91144984344</t>
  </si>
  <si>
    <t>51144973494</t>
  </si>
  <si>
    <t>PO4417225573</t>
  </si>
  <si>
    <t>SO91125225573</t>
  </si>
  <si>
    <t>51125219313</t>
  </si>
  <si>
    <t>PO4418671267</t>
  </si>
  <si>
    <t>SO91140571267</t>
  </si>
  <si>
    <t>51140516797</t>
  </si>
  <si>
    <t>PO4420241541</t>
  </si>
  <si>
    <t>SO91149541541</t>
  </si>
  <si>
    <t>51149508921</t>
  </si>
  <si>
    <t>PO4093182770</t>
  </si>
  <si>
    <t>SO90116682770</t>
  </si>
  <si>
    <t>50116679940</t>
  </si>
  <si>
    <t>PO4419323999</t>
  </si>
  <si>
    <t>SO91149323999</t>
  </si>
  <si>
    <t>51149380439</t>
  </si>
  <si>
    <t>PO4419965228</t>
  </si>
  <si>
    <t>SO91149265228</t>
  </si>
  <si>
    <t>51149267228</t>
  </si>
  <si>
    <t>PO4417606457</t>
  </si>
  <si>
    <t>SO91149106457</t>
  </si>
  <si>
    <t>51149180207</t>
  </si>
  <si>
    <t>PO4420347686</t>
  </si>
  <si>
    <t>SO91150147686</t>
  </si>
  <si>
    <t>51150173656</t>
  </si>
  <si>
    <t>PO4420388915</t>
  </si>
  <si>
    <t>SO91150188915</t>
  </si>
  <si>
    <t>51150173635</t>
  </si>
  <si>
    <t>PO4419930144</t>
  </si>
  <si>
    <t>SO91149130144</t>
  </si>
  <si>
    <t>51149159914</t>
  </si>
  <si>
    <t>PO4420271373</t>
  </si>
  <si>
    <t>SO91149571373</t>
  </si>
  <si>
    <t>51149508943</t>
  </si>
  <si>
    <t>PO4420312602</t>
  </si>
  <si>
    <t>SO91150112602</t>
  </si>
  <si>
    <t>51150166772</t>
  </si>
  <si>
    <t>PO4419953831</t>
  </si>
  <si>
    <t>SO91149153831</t>
  </si>
  <si>
    <t>51149125951</t>
  </si>
  <si>
    <t>PO4417695060</t>
  </si>
  <si>
    <t>SO91149195060</t>
  </si>
  <si>
    <t>51149146660</t>
  </si>
  <si>
    <t>PO4419836289</t>
  </si>
  <si>
    <t>SO91149136289</t>
  </si>
  <si>
    <t>51149183499</t>
  </si>
  <si>
    <t>SO91151002991</t>
  </si>
  <si>
    <t>51151002971</t>
  </si>
  <si>
    <t>SO91152074945</t>
  </si>
  <si>
    <t>51152059805</t>
  </si>
  <si>
    <t>SO91152016174</t>
  </si>
  <si>
    <t>51152059844</t>
  </si>
  <si>
    <t>PO6706257403</t>
  </si>
  <si>
    <t>SO99400657403</t>
  </si>
  <si>
    <t>59400670623</t>
  </si>
  <si>
    <t>PO5100498632</t>
  </si>
  <si>
    <t>SO91152698632</t>
  </si>
  <si>
    <t>51152675182</t>
  </si>
  <si>
    <t>SO91149739861</t>
  </si>
  <si>
    <t>51149787491</t>
  </si>
  <si>
    <t>PO4420481090</t>
  </si>
  <si>
    <t>SO91151381090</t>
  </si>
  <si>
    <t>51151389540</t>
  </si>
  <si>
    <t>PO4419822319</t>
  </si>
  <si>
    <t>SO91151322319</t>
  </si>
  <si>
    <t>51151397009</t>
  </si>
  <si>
    <t>PO4420563548</t>
  </si>
  <si>
    <t>SO91151963548</t>
  </si>
  <si>
    <t>51151945058</t>
  </si>
  <si>
    <t>PO4420404777</t>
  </si>
  <si>
    <t>SO91151204777</t>
  </si>
  <si>
    <t>51151297097</t>
  </si>
  <si>
    <t>PO4095117067</t>
  </si>
  <si>
    <t>SO90116817067</t>
  </si>
  <si>
    <t>50116808227</t>
  </si>
  <si>
    <t>PO4418758296</t>
  </si>
  <si>
    <t>SO91151358296</t>
  </si>
  <si>
    <t>51151361906</t>
  </si>
  <si>
    <t>PO8856499525</t>
  </si>
  <si>
    <t>SO91153799525</t>
  </si>
  <si>
    <t>51153713495</t>
  </si>
  <si>
    <t>PO4420423212</t>
  </si>
  <si>
    <t>SO91151623212</t>
  </si>
  <si>
    <t>51151628402</t>
  </si>
  <si>
    <t>PO4420229357</t>
  </si>
  <si>
    <t>SO91152029357</t>
  </si>
  <si>
    <t>51152009827</t>
  </si>
  <si>
    <t>POMR6H570586</t>
  </si>
  <si>
    <t>SO91154070586</t>
  </si>
  <si>
    <t>51154092826</t>
  </si>
  <si>
    <t>POMR6H511815</t>
  </si>
  <si>
    <t>SO91154111815</t>
  </si>
  <si>
    <t>51154176635</t>
  </si>
  <si>
    <t>POC240453044</t>
  </si>
  <si>
    <t>SO91151853044</t>
  </si>
  <si>
    <t>51151856144</t>
  </si>
  <si>
    <t>POC240494273</t>
  </si>
  <si>
    <t>SO91151894273</t>
  </si>
  <si>
    <t>51151829923</t>
  </si>
  <si>
    <t>POC240435502</t>
  </si>
  <si>
    <t>SO91151435502</t>
  </si>
  <si>
    <t>51151496852</t>
  </si>
  <si>
    <t>POC240476731</t>
  </si>
  <si>
    <t>SO91152176731</t>
  </si>
  <si>
    <t>51152140151</t>
  </si>
  <si>
    <t>PO4500117960</t>
  </si>
  <si>
    <t>SO91153717960</t>
  </si>
  <si>
    <t>51153789620</t>
  </si>
  <si>
    <t>POPO89159189</t>
  </si>
  <si>
    <t>SO91152059189</t>
  </si>
  <si>
    <t>51152047559</t>
  </si>
  <si>
    <t>POPO89900418</t>
  </si>
  <si>
    <t>SO91151600418</t>
  </si>
  <si>
    <t>51151696418</t>
  </si>
  <si>
    <t>PO4592741647</t>
  </si>
  <si>
    <t>SO91150841647</t>
  </si>
  <si>
    <t>51150884537</t>
  </si>
  <si>
    <t>POPO89182876</t>
  </si>
  <si>
    <t>SO91152182876</t>
  </si>
  <si>
    <t>51152115816</t>
  </si>
  <si>
    <t>POPO90124105</t>
  </si>
  <si>
    <t>SO91152124105</t>
  </si>
  <si>
    <t>51152199635</t>
  </si>
  <si>
    <t>POPO89465334</t>
  </si>
  <si>
    <t>SO91151365334</t>
  </si>
  <si>
    <t>51151382454</t>
  </si>
  <si>
    <t>POPO89406563</t>
  </si>
  <si>
    <t>SO91151306563</t>
  </si>
  <si>
    <t>51151382463</t>
  </si>
  <si>
    <t>PO4000047792</t>
  </si>
  <si>
    <t>SO91154647792</t>
  </si>
  <si>
    <t>51154625902</t>
  </si>
  <si>
    <t>PO4000089021</t>
  </si>
  <si>
    <t>SO91155289021</t>
  </si>
  <si>
    <t>51155297051</t>
  </si>
  <si>
    <t>PO4400830250</t>
  </si>
  <si>
    <t>SO91155230250</t>
  </si>
  <si>
    <t>51155292490</t>
  </si>
  <si>
    <t>PO4516871479</t>
  </si>
  <si>
    <t>SO91154471479</t>
  </si>
  <si>
    <t>51154468619</t>
  </si>
  <si>
    <t>PO4680012708</t>
  </si>
  <si>
    <t>SO91153912708</t>
  </si>
  <si>
    <t>51153929948</t>
  </si>
  <si>
    <t>PO5500053937</t>
  </si>
  <si>
    <t>SO91155153937</t>
  </si>
  <si>
    <t>51155141397</t>
  </si>
  <si>
    <t>PO4680095166</t>
  </si>
  <si>
    <t>SO91154995166</t>
  </si>
  <si>
    <t>51154916406</t>
  </si>
  <si>
    <t>PO5500036395</t>
  </si>
  <si>
    <t>SO91154336395</t>
  </si>
  <si>
    <t>51154323645</t>
  </si>
  <si>
    <t>PO2100377624</t>
  </si>
  <si>
    <t>SO91154877624</t>
  </si>
  <si>
    <t>51154848054</t>
  </si>
  <si>
    <t>PO2100318853</t>
  </si>
  <si>
    <t>SO91154318853</t>
  </si>
  <si>
    <t>51154362903</t>
  </si>
  <si>
    <t>PO2100360082</t>
  </si>
  <si>
    <t>SO91155160082</t>
  </si>
  <si>
    <t>51155185342</t>
  </si>
  <si>
    <t>PO2100301311</t>
  </si>
  <si>
    <t>SO91155101311</t>
  </si>
  <si>
    <t>51155169291</t>
  </si>
  <si>
    <t>PO2100342540</t>
  </si>
  <si>
    <t>SO91155942540</t>
  </si>
  <si>
    <t>51155989200</t>
  </si>
  <si>
    <t>POQLJ0083769</t>
  </si>
  <si>
    <t>SO90116983769</t>
  </si>
  <si>
    <t>50116955239</t>
  </si>
  <si>
    <t>PO39P0224998</t>
  </si>
  <si>
    <t>SO91154624998</t>
  </si>
  <si>
    <t>51154669958</t>
  </si>
  <si>
    <t>PO4420566227</t>
  </si>
  <si>
    <t>SO91152266227</t>
  </si>
  <si>
    <t>51152281297</t>
  </si>
  <si>
    <t>PO4420507456</t>
  </si>
  <si>
    <t>SO91152207456</t>
  </si>
  <si>
    <t>51152281276</t>
  </si>
  <si>
    <t>PO4420548685</t>
  </si>
  <si>
    <t>SO91152248685</t>
  </si>
  <si>
    <t>51152281185</t>
  </si>
  <si>
    <t>PO4420589914</t>
  </si>
  <si>
    <t>SO91152289914</t>
  </si>
  <si>
    <t>51152281034</t>
  </si>
  <si>
    <t>PO4420631143</t>
  </si>
  <si>
    <t>SO91152931143</t>
  </si>
  <si>
    <t>51152904103</t>
  </si>
  <si>
    <t>PO4420572372</t>
  </si>
  <si>
    <t>SO91152272372</t>
  </si>
  <si>
    <t>51152281312</t>
  </si>
  <si>
    <t>POP204006669</t>
  </si>
  <si>
    <t>SO91155306669</t>
  </si>
  <si>
    <t>51155334099</t>
  </si>
  <si>
    <t>PO4420640966</t>
  </si>
  <si>
    <t>SO91154040966</t>
  </si>
  <si>
    <t>51154039656</t>
  </si>
  <si>
    <t>PO4419870798</t>
  </si>
  <si>
    <t>SO91154470798</t>
  </si>
  <si>
    <t>51154479448</t>
  </si>
  <si>
    <t>PO4420812027</t>
  </si>
  <si>
    <t>SO91154512027</t>
  </si>
  <si>
    <t>51154510407</t>
  </si>
  <si>
    <t>POPO89412920</t>
  </si>
  <si>
    <t>SO91153612920</t>
  </si>
  <si>
    <t>51153605030</t>
  </si>
  <si>
    <t>PO4420997164</t>
  </si>
  <si>
    <t>SO91155597164</t>
  </si>
  <si>
    <t>51155577214</t>
  </si>
  <si>
    <t>PO4420950683</t>
  </si>
  <si>
    <t>SO91155550683</t>
  </si>
  <si>
    <t>51155531403</t>
  </si>
  <si>
    <t>PO4420581408</t>
  </si>
  <si>
    <t>SO91155881408</t>
  </si>
  <si>
    <t>51155833558</t>
  </si>
  <si>
    <t>PO4420963866</t>
  </si>
  <si>
    <t>SO91154763866</t>
  </si>
  <si>
    <t>51154777096</t>
  </si>
  <si>
    <t>PO4420934927</t>
  </si>
  <si>
    <t>SO91155934927</t>
  </si>
  <si>
    <t>51155972467</t>
  </si>
  <si>
    <t>PO5500023530</t>
  </si>
  <si>
    <t>SO91158623530</t>
  </si>
  <si>
    <t>51158616960</t>
  </si>
  <si>
    <t>PO4420964759</t>
  </si>
  <si>
    <t>SO91156064759</t>
  </si>
  <si>
    <t>51156005779</t>
  </si>
  <si>
    <t>PO4419605988</t>
  </si>
  <si>
    <t>SO91155905988</t>
  </si>
  <si>
    <t>51155953858</t>
  </si>
  <si>
    <t>PO4419844644</t>
  </si>
  <si>
    <t>SO91151144644</t>
  </si>
  <si>
    <t>51151169414</t>
  </si>
  <si>
    <t>PO4420668331</t>
  </si>
  <si>
    <t>SO91156768331</t>
  </si>
  <si>
    <t>51156730291</t>
  </si>
  <si>
    <t>PO4421009560</t>
  </si>
  <si>
    <t>SO91156809560</t>
  </si>
  <si>
    <t>51156869360</t>
  </si>
  <si>
    <t>1443616</t>
  </si>
  <si>
    <t>SPAC 3616</t>
  </si>
  <si>
    <t>PO4420710453</t>
  </si>
  <si>
    <t>SO91156910453</t>
  </si>
  <si>
    <t>51156986053</t>
  </si>
  <si>
    <t>PO4420734140</t>
  </si>
  <si>
    <t>SO91157034140</t>
  </si>
  <si>
    <t>51157081730</t>
  </si>
  <si>
    <t>PO5500017491</t>
  </si>
  <si>
    <t>SO91152617491</t>
  </si>
  <si>
    <t>51152668241</t>
  </si>
  <si>
    <t>PO4500099949</t>
  </si>
  <si>
    <t>SO91153299949</t>
  </si>
  <si>
    <t>51153272329</t>
  </si>
  <si>
    <t>SO91159647323</t>
  </si>
  <si>
    <t>51159626793</t>
  </si>
  <si>
    <t>PO2100354361</t>
  </si>
  <si>
    <t>SO91158654361</t>
  </si>
  <si>
    <t>51158624431</t>
  </si>
  <si>
    <t>PO126885086</t>
  </si>
  <si>
    <t>SO91159185086</t>
  </si>
  <si>
    <t>51159121516</t>
  </si>
  <si>
    <t>PO4421775475</t>
  </si>
  <si>
    <t>SO95113275475</t>
  </si>
  <si>
    <t>55113258555</t>
  </si>
  <si>
    <t>PO4420722849</t>
  </si>
  <si>
    <t>SO91157922849</t>
  </si>
  <si>
    <t>51157989199</t>
  </si>
  <si>
    <t>PO3014172009</t>
  </si>
  <si>
    <t>SO91160872009</t>
  </si>
  <si>
    <t>51160871469</t>
  </si>
  <si>
    <t>PO3014154467</t>
  </si>
  <si>
    <t>SO91160854467</t>
  </si>
  <si>
    <t>51160871477</t>
  </si>
  <si>
    <t>PO3014219383</t>
  </si>
  <si>
    <t>SO91160719383</t>
  </si>
  <si>
    <t>51160727893</t>
  </si>
  <si>
    <t>PO4420720276</t>
  </si>
  <si>
    <t>SO91158220276</t>
  </si>
  <si>
    <t>51158202706</t>
  </si>
  <si>
    <t>PO4420761505</t>
  </si>
  <si>
    <t>SO91158161505</t>
  </si>
  <si>
    <t>51158142085</t>
  </si>
  <si>
    <t>SO91160702734</t>
  </si>
  <si>
    <t>51160798754</t>
  </si>
  <si>
    <t>PO5989943963</t>
  </si>
  <si>
    <t>SO91159643963</t>
  </si>
  <si>
    <t>51159607763</t>
  </si>
  <si>
    <t>PO5858785192</t>
  </si>
  <si>
    <t>SO90117585192</t>
  </si>
  <si>
    <t>50117585872</t>
  </si>
  <si>
    <t>SO91160626421</t>
  </si>
  <si>
    <t>51160632721</t>
  </si>
  <si>
    <t>PO4580067650</t>
  </si>
  <si>
    <t>SO90117567650</t>
  </si>
  <si>
    <t>50117566310</t>
  </si>
  <si>
    <t>PO5274908879</t>
  </si>
  <si>
    <t>SO90117508879</t>
  </si>
  <si>
    <t>50117527499</t>
  </si>
  <si>
    <t>SO91161250108</t>
  </si>
  <si>
    <t>51161299108</t>
  </si>
  <si>
    <t>PO6240191337</t>
  </si>
  <si>
    <t>SO90117691337</t>
  </si>
  <si>
    <t>50117624017</t>
  </si>
  <si>
    <t>PO4518532566</t>
  </si>
  <si>
    <t>SO91160332566</t>
  </si>
  <si>
    <t>51160361776</t>
  </si>
  <si>
    <t>PO4500073795</t>
  </si>
  <si>
    <t>SO91160373795</t>
  </si>
  <si>
    <t>51160358125</t>
  </si>
  <si>
    <t>SO91161115024</t>
  </si>
  <si>
    <t>51161155154</t>
  </si>
  <si>
    <t>PO5722756253</t>
  </si>
  <si>
    <t>SO91160556253</t>
  </si>
  <si>
    <t>51160572273</t>
  </si>
  <si>
    <t>PO2728497482</t>
  </si>
  <si>
    <t>SO91161197482</t>
  </si>
  <si>
    <t>51161155172</t>
  </si>
  <si>
    <t>PO2730038711</t>
  </si>
  <si>
    <t>SO91161138711</t>
  </si>
  <si>
    <t>51161155211</t>
  </si>
  <si>
    <t>PO2728479940</t>
  </si>
  <si>
    <t>SO91161379940</t>
  </si>
  <si>
    <t>51161393040</t>
  </si>
  <si>
    <t>PO6792721169</t>
  </si>
  <si>
    <t>SO90117621169</t>
  </si>
  <si>
    <t>50117679279</t>
  </si>
  <si>
    <t>PO4518574688</t>
  </si>
  <si>
    <t>SO91160274688</t>
  </si>
  <si>
    <t>51160297898</t>
  </si>
  <si>
    <t>1361989</t>
  </si>
  <si>
    <t>ICU  1989</t>
  </si>
  <si>
    <t>PO3014222955</t>
  </si>
  <si>
    <t>SO91161922955</t>
  </si>
  <si>
    <t>51161907705</t>
  </si>
  <si>
    <t>PO3014129100</t>
  </si>
  <si>
    <t>SO91162129100</t>
  </si>
  <si>
    <t>51162145640</t>
  </si>
  <si>
    <t>PO3014229993</t>
  </si>
  <si>
    <t>SO91161929993</t>
  </si>
  <si>
    <t>51161918053</t>
  </si>
  <si>
    <t>PO6996165970</t>
  </si>
  <si>
    <t>SO90117665970</t>
  </si>
  <si>
    <t>50117699610</t>
  </si>
  <si>
    <t>PO4420107199</t>
  </si>
  <si>
    <t>SO91158607199</t>
  </si>
  <si>
    <t>51158609189</t>
  </si>
  <si>
    <t>PO4420148428</t>
  </si>
  <si>
    <t>SO91158648428</t>
  </si>
  <si>
    <t>51158608808</t>
  </si>
  <si>
    <t>PO4420289657</t>
  </si>
  <si>
    <t>SO91158689657</t>
  </si>
  <si>
    <t>51158608947</t>
  </si>
  <si>
    <t>PO4420130886</t>
  </si>
  <si>
    <t>SO91158630886</t>
  </si>
  <si>
    <t>51158646116</t>
  </si>
  <si>
    <t>SO91161872115</t>
  </si>
  <si>
    <t>51161872425</t>
  </si>
  <si>
    <t>PO8019813344</t>
  </si>
  <si>
    <t>SO90117613344</t>
  </si>
  <si>
    <t>50117696514</t>
  </si>
  <si>
    <t>SO91161354573</t>
  </si>
  <si>
    <t>51161376973</t>
  </si>
  <si>
    <t>PO8016395802</t>
  </si>
  <si>
    <t>SO90117695802</t>
  </si>
  <si>
    <t>50117696512</t>
  </si>
  <si>
    <t>SO91160437031</t>
  </si>
  <si>
    <t>51160445841</t>
  </si>
  <si>
    <t>SO90117778260</t>
  </si>
  <si>
    <t>50117748400</t>
  </si>
  <si>
    <t>PO5841819489</t>
  </si>
  <si>
    <t>SO91161619489</t>
  </si>
  <si>
    <t>51161646779</t>
  </si>
  <si>
    <t>POPOJS160718</t>
  </si>
  <si>
    <t>SO91151060718</t>
  </si>
  <si>
    <t>51151026128</t>
  </si>
  <si>
    <t>SO91151001947</t>
  </si>
  <si>
    <t>51151026087</t>
  </si>
  <si>
    <t>SO91152143176</t>
  </si>
  <si>
    <t>51152140926</t>
  </si>
  <si>
    <t>PO9300884405</t>
  </si>
  <si>
    <t>SO91159484405</t>
  </si>
  <si>
    <t>51159472835</t>
  </si>
  <si>
    <t>PO4434025634</t>
  </si>
  <si>
    <t>SO91158525634</t>
  </si>
  <si>
    <t>51158586614</t>
  </si>
  <si>
    <t>PO4515066863</t>
  </si>
  <si>
    <t>SO91161366863</t>
  </si>
  <si>
    <t>51161379163</t>
  </si>
  <si>
    <t>PO5107108092</t>
  </si>
  <si>
    <t>SO91162608092</t>
  </si>
  <si>
    <t>51162631052</t>
  </si>
  <si>
    <t>SO91162149321</t>
  </si>
  <si>
    <t>51162147621</t>
  </si>
  <si>
    <t>SO91160890550</t>
  </si>
  <si>
    <t>51160814390</t>
  </si>
  <si>
    <t>PO4514731779</t>
  </si>
  <si>
    <t>SO91161331779</t>
  </si>
  <si>
    <t>51161379179</t>
  </si>
  <si>
    <t>SO91160373008</t>
  </si>
  <si>
    <t>51160376888</t>
  </si>
  <si>
    <t>Under Tax Team validation</t>
  </si>
  <si>
    <t>PO7959598481</t>
  </si>
  <si>
    <t>SO90117798481</t>
  </si>
  <si>
    <t>50117795951</t>
  </si>
  <si>
    <t>1286262</t>
  </si>
  <si>
    <t>SIEM 6262</t>
  </si>
  <si>
    <t>PO2024030099</t>
  </si>
  <si>
    <t>SO95113330099</t>
  </si>
  <si>
    <t>55113373969</t>
  </si>
  <si>
    <t>POME38A07305</t>
  </si>
  <si>
    <t>SO91162307305</t>
  </si>
  <si>
    <t>51162318525</t>
  </si>
  <si>
    <t>1200360</t>
  </si>
  <si>
    <t>JABI 0360</t>
  </si>
  <si>
    <t>PO07-FE48534</t>
  </si>
  <si>
    <t>SO91160148534</t>
  </si>
  <si>
    <t>51160154034</t>
  </si>
  <si>
    <t>PO14-FE89763</t>
  </si>
  <si>
    <t>SO91160989763</t>
  </si>
  <si>
    <t>51160979923</t>
  </si>
  <si>
    <t>POWol84511</t>
  </si>
  <si>
    <t>SO91160384511</t>
  </si>
  <si>
    <t>51160320651</t>
  </si>
  <si>
    <t>PO4421539816</t>
  </si>
  <si>
    <t>SO91159739816</t>
  </si>
  <si>
    <t>51159703866</t>
  </si>
  <si>
    <t>PO05-AD81045</t>
  </si>
  <si>
    <t>SO91161181045</t>
  </si>
  <si>
    <t>51161151795</t>
  </si>
  <si>
    <t>PO05-AD22274</t>
  </si>
  <si>
    <t>SO91160922274</t>
  </si>
  <si>
    <t>51160913864</t>
  </si>
  <si>
    <t>PO05-AD63503</t>
  </si>
  <si>
    <t>SO91160563503</t>
  </si>
  <si>
    <t>51160552653</t>
  </si>
  <si>
    <t>PO4502247747</t>
  </si>
  <si>
    <t>SO91161447747</t>
  </si>
  <si>
    <t>51161453037</t>
  </si>
  <si>
    <t>PO4504512663</t>
  </si>
  <si>
    <t>SO91162412663</t>
  </si>
  <si>
    <t>51162447353</t>
  </si>
  <si>
    <t>PO3251091655</t>
  </si>
  <si>
    <t>SO91162891655</t>
  </si>
  <si>
    <t>51162874045</t>
  </si>
  <si>
    <t>POcriti15342</t>
  </si>
  <si>
    <t>SO91160215342</t>
  </si>
  <si>
    <t>51160296922</t>
  </si>
  <si>
    <t>PO3251056571</t>
  </si>
  <si>
    <t>SO91162956571</t>
  </si>
  <si>
    <t>51162969701</t>
  </si>
  <si>
    <t>PO3251497800</t>
  </si>
  <si>
    <t>SO91162997800</t>
  </si>
  <si>
    <t>51162969750</t>
  </si>
  <si>
    <t>POAV06239029</t>
  </si>
  <si>
    <t>SO90117939029</t>
  </si>
  <si>
    <t>50117924979</t>
  </si>
  <si>
    <t>POAV05280258</t>
  </si>
  <si>
    <t>SO90117980258</t>
  </si>
  <si>
    <t>50117924978</t>
  </si>
  <si>
    <t>PO4500621487</t>
  </si>
  <si>
    <t>SO91162121487</t>
  </si>
  <si>
    <t>51162188217</t>
  </si>
  <si>
    <t>PO4513362716</t>
  </si>
  <si>
    <t>SO91161562716</t>
  </si>
  <si>
    <t>51161569796</t>
  </si>
  <si>
    <t>PO4513303945</t>
  </si>
  <si>
    <t>SO91161503945</t>
  </si>
  <si>
    <t>51161569815</t>
  </si>
  <si>
    <t>PO4517427632</t>
  </si>
  <si>
    <t>SO95113427632</t>
  </si>
  <si>
    <t>55113474632</t>
  </si>
  <si>
    <t>PO4517368861</t>
  </si>
  <si>
    <t>SO95113468861</t>
  </si>
  <si>
    <t>55113474611</t>
  </si>
  <si>
    <t>PO4420610090</t>
  </si>
  <si>
    <t>SO91159910090</t>
  </si>
  <si>
    <t>51159937570</t>
  </si>
  <si>
    <t>PO4421157464</t>
  </si>
  <si>
    <t>SO91160957464</t>
  </si>
  <si>
    <t>51160940744</t>
  </si>
  <si>
    <t>PO4421398693</t>
  </si>
  <si>
    <t>SO91159998693</t>
  </si>
  <si>
    <t>51159903153</t>
  </si>
  <si>
    <t>PO8856439922</t>
  </si>
  <si>
    <t>SO91162839922</t>
  </si>
  <si>
    <t>51162808912</t>
  </si>
  <si>
    <t>PO4421481151</t>
  </si>
  <si>
    <t>SO91159981151</t>
  </si>
  <si>
    <t>51159903191</t>
  </si>
  <si>
    <t>PO4421587296</t>
  </si>
  <si>
    <t>SO91160087296</t>
  </si>
  <si>
    <t>51160027536</t>
  </si>
  <si>
    <t>1129814</t>
  </si>
  <si>
    <t>COPE 9814</t>
  </si>
  <si>
    <t>PO4535737349</t>
  </si>
  <si>
    <t>SO91159537349</t>
  </si>
  <si>
    <t>51159596209</t>
  </si>
  <si>
    <t>PO1150078578</t>
  </si>
  <si>
    <t>SO91158978578</t>
  </si>
  <si>
    <t>51158927978</t>
  </si>
  <si>
    <t>PO551518127</t>
  </si>
  <si>
    <t>SO91164918127</t>
  </si>
  <si>
    <t>51164994047</t>
  </si>
  <si>
    <t>1040246</t>
  </si>
  <si>
    <t>FLEX 0246</t>
  </si>
  <si>
    <t>PO4421541814</t>
  </si>
  <si>
    <t>SO91160341814</t>
  </si>
  <si>
    <t>51160352914</t>
  </si>
  <si>
    <t>PO4421483043</t>
  </si>
  <si>
    <t>SO91160083043</t>
  </si>
  <si>
    <t>51160030153</t>
  </si>
  <si>
    <t>PO4421524272</t>
  </si>
  <si>
    <t>SO91160324272</t>
  </si>
  <si>
    <t>51160346502</t>
  </si>
  <si>
    <t>PO4291085722</t>
  </si>
  <si>
    <t>SO91162885722</t>
  </si>
  <si>
    <t>51162890242</t>
  </si>
  <si>
    <t>PO4420509409</t>
  </si>
  <si>
    <t>SO91152409409</t>
  </si>
  <si>
    <t>51152435099</t>
  </si>
  <si>
    <t>PO1447488401</t>
  </si>
  <si>
    <t>SO91139188401</t>
  </si>
  <si>
    <t>51139144741</t>
  </si>
  <si>
    <t>PO4600053317</t>
  </si>
  <si>
    <t>SO91164953317</t>
  </si>
  <si>
    <t>51164901197</t>
  </si>
  <si>
    <t>PO4951212981</t>
  </si>
  <si>
    <t>SO91162112981</t>
  </si>
  <si>
    <t>51162165401</t>
  </si>
  <si>
    <t>PO4951254210</t>
  </si>
  <si>
    <t>SO91162154210</t>
  </si>
  <si>
    <t>51162158120</t>
  </si>
  <si>
    <t>PO4421695439</t>
  </si>
  <si>
    <t>SO91161295439</t>
  </si>
  <si>
    <t>51161269619</t>
  </si>
  <si>
    <t>PO05-VA36668</t>
  </si>
  <si>
    <t>SO91163736668</t>
  </si>
  <si>
    <t>51163792498</t>
  </si>
  <si>
    <t>PO4434013874</t>
  </si>
  <si>
    <t>SO91161013874</t>
  </si>
  <si>
    <t>51161079424</t>
  </si>
  <si>
    <t>PO4421655103</t>
  </si>
  <si>
    <t>SO91161155103</t>
  </si>
  <si>
    <t>51161109013</t>
  </si>
  <si>
    <t>PO2000084935</t>
  </si>
  <si>
    <t>SO91163784935</t>
  </si>
  <si>
    <t>51163768145</t>
  </si>
  <si>
    <t>PO1000126164</t>
  </si>
  <si>
    <t>SO91163426164</t>
  </si>
  <si>
    <t>51163465874</t>
  </si>
  <si>
    <t>PO1840249851</t>
  </si>
  <si>
    <t>SO91162749851</t>
  </si>
  <si>
    <t>51162704321</t>
  </si>
  <si>
    <t>1394929</t>
  </si>
  <si>
    <t>INGR 4929</t>
  </si>
  <si>
    <t>PO8181630629</t>
  </si>
  <si>
    <t>SO91162330629</t>
  </si>
  <si>
    <t>51162307479</t>
  </si>
  <si>
    <t>PO4951237667</t>
  </si>
  <si>
    <t>SO91162237667</t>
  </si>
  <si>
    <t>51162262627</t>
  </si>
  <si>
    <t>PO4951278896</t>
  </si>
  <si>
    <t>SO91162278896</t>
  </si>
  <si>
    <t>51162262646</t>
  </si>
  <si>
    <t>PO4951220125</t>
  </si>
  <si>
    <t>SO91162220125</t>
  </si>
  <si>
    <t>51162262655</t>
  </si>
  <si>
    <t>PO4951261354</t>
  </si>
  <si>
    <t>SO91162261354</t>
  </si>
  <si>
    <t>51162262664</t>
  </si>
  <si>
    <t>POPO21202583</t>
  </si>
  <si>
    <t>SO95113502583</t>
  </si>
  <si>
    <t>55113555103</t>
  </si>
  <si>
    <t>1475075</t>
  </si>
  <si>
    <t>BCM  5075</t>
  </si>
  <si>
    <t>1599743</t>
  </si>
  <si>
    <t>AMI  9743</t>
  </si>
  <si>
    <t>PO3006092957</t>
  </si>
  <si>
    <t>1675695</t>
  </si>
  <si>
    <t>ENCO 5695</t>
  </si>
  <si>
    <t>PO3008864911</t>
  </si>
  <si>
    <t>1802721</t>
  </si>
  <si>
    <t>SOMA 2721</t>
  </si>
  <si>
    <t>1880594</t>
  </si>
  <si>
    <t>BENC 0594</t>
  </si>
  <si>
    <t>1199834</t>
  </si>
  <si>
    <t>SOLL 9834</t>
  </si>
  <si>
    <t>1580936</t>
  </si>
  <si>
    <t>VVDN 0936</t>
  </si>
  <si>
    <t>PO3024485449</t>
  </si>
  <si>
    <t>PO39P0157403</t>
  </si>
  <si>
    <t>PO39P0098632</t>
  </si>
  <si>
    <t>PO1011139862</t>
  </si>
  <si>
    <t>1468334</t>
  </si>
  <si>
    <t>EMS  8334</t>
  </si>
  <si>
    <t>Laura Whitfield</t>
  </si>
  <si>
    <t>1388979</t>
  </si>
  <si>
    <t>SKL  8979</t>
  </si>
  <si>
    <t>PO31-9647324</t>
  </si>
  <si>
    <t>1920383</t>
  </si>
  <si>
    <t>RAPI 0383</t>
  </si>
  <si>
    <t>1229933</t>
  </si>
  <si>
    <t>VTEC 9933</t>
  </si>
  <si>
    <t>PODO-0002735</t>
  </si>
  <si>
    <t>1900716</t>
  </si>
  <si>
    <t>EPIC 0716</t>
  </si>
  <si>
    <t>PO2100326422</t>
  </si>
  <si>
    <t>PO2731150109</t>
  </si>
  <si>
    <t>PO2729815025</t>
  </si>
  <si>
    <t>PO2526272116</t>
  </si>
  <si>
    <t>POMH/GP54574</t>
  </si>
  <si>
    <t>PO39U1537032</t>
  </si>
  <si>
    <t>PO1014178261</t>
  </si>
  <si>
    <t>POPOJS43176</t>
  </si>
  <si>
    <t>POPOJS15595</t>
  </si>
  <si>
    <t>POPROX043177</t>
  </si>
  <si>
    <t>PO2100349322</t>
  </si>
  <si>
    <t>POT009790551</t>
  </si>
  <si>
    <t>POT009773009</t>
  </si>
  <si>
    <t>1465326</t>
  </si>
  <si>
    <t>IVEI 5326</t>
  </si>
  <si>
    <t>Manager Name2</t>
  </si>
  <si>
    <t>UDM Notes</t>
  </si>
  <si>
    <t>Grand Total</t>
  </si>
  <si>
    <t>Disputes</t>
  </si>
  <si>
    <t>Disp. Amount</t>
  </si>
  <si>
    <t>ID</t>
  </si>
  <si>
    <t>Description -  This Req has been handled by Sales Team and this is related to Cancelled Order</t>
  </si>
  <si>
    <t>Description -  This Req has been handled by Materials Team and this is related to Short Shipment</t>
  </si>
  <si>
    <t>Description -  This Req has been handled by Credit Team and this is related to Unknown Deduction</t>
  </si>
  <si>
    <t>Description -  This Req has been handled by Credit Team and this is related to Discount</t>
  </si>
  <si>
    <t>Description -  This Req has been handled by Sales Team and this is related to Resolve with Buyer</t>
  </si>
  <si>
    <t>Description -  This Req has been handled by Sales Team and this is related to PO Closed</t>
  </si>
  <si>
    <t>Description -  This Req has been handled by Sales Team and this is related to Wrong PO Number</t>
  </si>
  <si>
    <t>Description -  This Req has been handled by Materials Team and this is related to RMA Number Needed</t>
  </si>
  <si>
    <t>Description -  This Req has been handled by Sales Team and this is related to Pricing Error</t>
  </si>
  <si>
    <t>Description -  This Req has been handled by Sales Team and this is related to No Receiver</t>
  </si>
  <si>
    <t>Description -  This Req has been handled by Sales Team and this is related to Lack of Response</t>
  </si>
  <si>
    <t>Description -  This Req has been handled by Materials Team and this is related to Freight</t>
  </si>
  <si>
    <t>Description -  This Req has been handled by Credit Team and this is related to Credit Memo Not Open</t>
  </si>
  <si>
    <t/>
  </si>
  <si>
    <t>Description -  This Req has been handled by Materials Team and this is related to Overshipped PO</t>
  </si>
  <si>
    <t>Description -  This Req has been handled by Tax Team and this is related to Deducted Tax</t>
  </si>
  <si>
    <t>Description -  This Req has been handled by Materials Team and this is related to RMA Credit Needed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</si>
</sst>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10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  <xf numFmtId="0" fontId="0" fillId="0" borderId="0" xfId="0" pivotButton="1"/>
    <xf numFmtId="164" fontId="0" fillId="0" borderId="0" xfId="0" applyNumberFormat="1"/>
    <xf numFmtId="0" fontId="0" fillId="2" borderId="2" xfId="0" applyFill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5"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4253356484" createdVersion="8" refreshedVersion="8" minRefreshableVersion="3" recordCount="304" xr:uid="{951D6A42-1B11-4509-85A9-30054BEF4460}">
  <cacheSource type="worksheet">
    <worksheetSource ref="A1:AF305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1-04-05T00:00:00" maxDate="2026-06-19T00:00:00"/>
    </cacheField>
    <cacheField name="Last Changed On" numFmtId="14">
      <sharedItems containsSemiMixedTypes="0" containsNonDate="0" containsDate="1" containsString="0" minDate="2021-08-30T00:00:00" maxDate="2026-06-19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1" maxValue="1901"/>
    </cacheField>
    <cacheField name="Case ID" numFmtId="1">
      <sharedItems containsSemiMixedTypes="0" containsString="0" containsNumber="1" containsInteger="1" minValue="3276391" maxValue="4975796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0-08-20T00:00:00" maxDate="2026-06-17T00:00:00"/>
    </cacheField>
    <cacheField name="Customer Number" numFmtId="0">
      <sharedItems/>
    </cacheField>
    <cacheField name="Customer Name " numFmtId="0">
      <sharedItems count="22">
        <s v="GE A 5937"/>
        <s v="HONE 3247"/>
        <s v="SPAC 3616"/>
        <s v="ICU  1989"/>
        <s v="SIEM 6262"/>
        <s v="JABI 0360"/>
        <s v="COPE 9814"/>
        <s v="FLEX 0246"/>
        <s v="INGR 4929"/>
        <s v="BCM  5075"/>
        <s v="AMI  9743"/>
        <s v="ENCO 5695"/>
        <s v="SOMA 2721"/>
        <s v="BENC 0594"/>
        <s v="SOLL 9834"/>
        <s v="VVDN 0936"/>
        <s v="EMS  8334"/>
        <s v="SKL  8979"/>
        <s v="RAPI 0383"/>
        <s v="VTEC 9933"/>
        <s v="EPIC 0716"/>
        <s v="IVEI 5326"/>
      </sharedItems>
    </cacheField>
    <cacheField name="Cause Desc" numFmtId="0">
      <sharedItems/>
    </cacheField>
    <cacheField name="Disputed Amount" numFmtId="164">
      <sharedItems containsSemiMixedTypes="0" containsString="0" containsNumber="1" minValue="0.47" maxValue="307659.39"/>
    </cacheField>
    <cacheField name="Original Disputed Amount" numFmtId="164">
      <sharedItems containsSemiMixedTypes="0" containsString="0" containsNumber="1" minValue="3.53" maxValue="2184840"/>
    </cacheField>
    <cacheField name="Status Date" numFmtId="14">
      <sharedItems containsSemiMixedTypes="0" containsNonDate="0" containsDate="1" containsString="0" minDate="2026-03-10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1" maxValue="100291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1" maxValue="100281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108"/>
    </cacheField>
    <cacheField name="Manager Name" numFmtId="0">
      <sharedItems/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4254629631" createdVersion="8" refreshedVersion="8" minRefreshableVersion="3" recordCount="304" xr:uid="{F1FA0DBE-C871-4A75-8A67-A893E054BD62}">
  <cacheSource type="worksheet">
    <worksheetSource ref="A1:AF305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1-04-05T00:00:00" maxDate="2026-06-19T00:00:00"/>
    </cacheField>
    <cacheField name="Last Changed On" numFmtId="14">
      <sharedItems containsSemiMixedTypes="0" containsNonDate="0" containsDate="1" containsString="0" minDate="2021-08-30T00:00:00" maxDate="2026-06-19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1" maxValue="1901"/>
    </cacheField>
    <cacheField name="Case ID" numFmtId="1">
      <sharedItems containsSemiMixedTypes="0" containsString="0" containsNumber="1" containsInteger="1" minValue="3276391" maxValue="4975796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0-08-20T00:00:00" maxDate="2026-06-17T00:00:00"/>
    </cacheField>
    <cacheField name="Customer Number" numFmtId="0">
      <sharedItems/>
    </cacheField>
    <cacheField name="Customer Name " numFmtId="0">
      <sharedItems/>
    </cacheField>
    <cacheField name="Cause Desc" numFmtId="0">
      <sharedItems/>
    </cacheField>
    <cacheField name="Disputed Amount" numFmtId="164">
      <sharedItems containsSemiMixedTypes="0" containsString="0" containsNumber="1" minValue="0.47" maxValue="307659.39"/>
    </cacheField>
    <cacheField name="Original Disputed Amount" numFmtId="164">
      <sharedItems containsSemiMixedTypes="0" containsString="0" containsNumber="1" minValue="3.53" maxValue="2184840"/>
    </cacheField>
    <cacheField name="Status Date" numFmtId="14">
      <sharedItems containsSemiMixedTypes="0" containsNonDate="0" containsDate="1" containsString="0" minDate="2026-03-10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1" maxValue="100291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1" maxValue="100281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108"/>
    </cacheField>
    <cacheField name="Manager Name" numFmtId="0">
      <sharedItems count="1">
        <s v="Patrick Hayes"/>
      </sharedItems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4">
  <r>
    <s v="A100"/>
    <s v="AFRA100"/>
    <s v="A100-141"/>
    <d v="2021-04-05T00:00:00"/>
    <d v="2021-08-30T00:00:00"/>
    <s v="180+"/>
    <s v="Africa"/>
    <n v="1901"/>
    <n v="3276391"/>
    <s v="PO0925171630"/>
    <s v="SO90112071630"/>
    <s v="50112092510"/>
    <d v="2020-08-20T00:00:00"/>
    <s v="1355937"/>
    <x v="0"/>
    <s v="Cancelled Order"/>
    <n v="18.43"/>
    <n v="3992"/>
    <d v="2026-06-22T00:00:00"/>
    <s v="Sales Team"/>
    <s v="Under Sales Team validation"/>
    <s v="No"/>
    <s v="N/A"/>
    <s v="CN"/>
    <n v="100111"/>
    <s v="Andrew Ross"/>
    <n v="100111"/>
    <s v="Andrew Ross"/>
    <n v="4"/>
    <s v="Patrick Hayes"/>
    <s v="Andrew Ross"/>
    <s v="Description -  This Req has been handled by Sales Team and this is related to Cancelled Order"/>
  </r>
  <r>
    <s v="A100"/>
    <s v="AFRA100"/>
    <s v="A100-141"/>
    <d v="2021-06-19T00:00:00"/>
    <d v="2021-10-12T00:00:00"/>
    <s v="180+"/>
    <s v="Africa"/>
    <n v="1826"/>
    <n v="3321341"/>
    <s v="PO3006054088"/>
    <s v="SO91113054088"/>
    <s v="51113002478"/>
    <d v="2021-05-28T00:00:00"/>
    <s v="1355937"/>
    <x v="0"/>
    <s v="Short Shipment"/>
    <n v="396.2"/>
    <n v="396.2"/>
    <d v="2026-06-22T00:00:00"/>
    <s v="Materials Team"/>
    <s v="Under Materials Team validation"/>
    <s v="No"/>
    <s v="N/A"/>
    <s v="SS"/>
    <n v="100131"/>
    <s v="Emily Coleman"/>
    <n v="100111"/>
    <s v="Andrew Ross"/>
    <n v="4"/>
    <s v="Patrick Hayes"/>
    <s v="Andrew Ross"/>
    <s v="Description -  This Req has been handled by Materials Team and this is related to Short Shipment"/>
  </r>
  <r>
    <s v="A100"/>
    <s v="AFRA100"/>
    <s v="A100-141"/>
    <d v="2021-07-01T00:00:00"/>
    <d v="2021-10-14T00:00:00"/>
    <s v="180+"/>
    <s v="Africa"/>
    <n v="1814"/>
    <n v="3323191"/>
    <s v="PO4000295317"/>
    <s v="SO91108095317"/>
    <s v="51108086197"/>
    <d v="2021-06-17T00:00:00"/>
    <s v="1355937"/>
    <x v="0"/>
    <s v="Short Shipment"/>
    <n v="1029.2"/>
    <n v="1029.2"/>
    <d v="2026-06-22T00:00:00"/>
    <s v="Materials Team"/>
    <s v="Under Materials Team validation"/>
    <s v="No"/>
    <s v="N/A"/>
    <s v="SS"/>
    <n v="100171"/>
    <s v="Sophia Turner"/>
    <n v="100121"/>
    <s v="Olivia Jenkins"/>
    <n v="4"/>
    <s v="Patrick Hayes"/>
    <s v="Olivia Jenkins"/>
    <s v="Description -  This Req has been handled by Materials Team and this is related to Short Shipment"/>
  </r>
  <r>
    <s v="A100"/>
    <s v="AFRA100"/>
    <s v="A100-141"/>
    <d v="2021-07-15T00:00:00"/>
    <d v="2021-09-30T00:00:00"/>
    <s v="180+"/>
    <s v="Africa"/>
    <n v="1800"/>
    <n v="3332381"/>
    <s v="PO2376777775"/>
    <s v="SO90112477775"/>
    <s v="50112414225"/>
    <d v="2021-06-30T00:00:00"/>
    <s v="1355937"/>
    <x v="0"/>
    <s v="Short Shipment"/>
    <n v="161.75"/>
    <n v="161.75"/>
    <d v="2026-06-22T00:00:00"/>
    <s v="Materials Team"/>
    <s v="Under Materials Team validation"/>
    <s v="No"/>
    <s v="N/A"/>
    <s v="SS"/>
    <n v="100211"/>
    <s v="Charles Benson"/>
    <n v="100151"/>
    <s v="Mason Reynolds"/>
    <n v="4"/>
    <s v="Patrick Hayes"/>
    <s v="Mason Reynolds"/>
    <s v="Description -  This Req has been handled by Materials Team and this is related to Short Shipment"/>
  </r>
  <r>
    <s v="A100"/>
    <s v="AFRA100"/>
    <s v="A100-141"/>
    <d v="2021-09-17T00:00:00"/>
    <d v="2022-09-26T00:00:00"/>
    <s v="180+"/>
    <s v="Africa"/>
    <n v="1736"/>
    <n v="3411741"/>
    <s v="PO8454560233"/>
    <s v="SO90112860233"/>
    <s v="50112845453"/>
    <d v="2021-07-27T00:00:00"/>
    <s v="1355937"/>
    <x v="0"/>
    <s v="Unknown Deduction"/>
    <n v="3.53"/>
    <n v="3.53"/>
    <d v="2026-06-22T00:00:00"/>
    <s v="Credit Team"/>
    <s v="Under Credit Team validation"/>
    <s v="No"/>
    <s v="N/A"/>
    <s v="UN"/>
    <n v="100101"/>
    <s v="James Mitchell"/>
    <n v="100111"/>
    <s v="Andrew Ross"/>
    <n v="4"/>
    <s v="Patrick Hayes"/>
    <s v="Andrew Ross"/>
    <s v="Description -  This Req has been handled by Credit Team and this is related to Unknown Deduction"/>
  </r>
  <r>
    <s v="A100"/>
    <s v="AFRA100"/>
    <s v="A100-141"/>
    <d v="2021-12-10T00:00:00"/>
    <d v="2022-09-26T00:00:00"/>
    <s v="180+"/>
    <s v="Africa"/>
    <n v="1652"/>
    <n v="3451681"/>
    <s v="PO4000072523"/>
    <s v="SO91121172523"/>
    <s v="51121113173"/>
    <d v="2021-11-23T00:00:00"/>
    <s v="1355937"/>
    <x v="0"/>
    <s v="Unknown Deduction"/>
    <n v="0.47"/>
    <n v="100"/>
    <d v="2026-06-22T00:00:00"/>
    <s v="Credit Team"/>
    <s v="Under Credit Team validation"/>
    <s v="No"/>
    <s v="N/A"/>
    <s v="UN"/>
    <n v="100141"/>
    <s v="Liam Matthews"/>
    <n v="100121"/>
    <s v="Olivia Jenkins"/>
    <n v="4"/>
    <s v="Patrick Hayes"/>
    <s v="Olivia Jenkins"/>
    <s v="Description -  This Req has been handled by Credit Team and this is related to Unknown Deduction"/>
  </r>
  <r>
    <s v="A100"/>
    <s v="AFRA100"/>
    <s v="A100-141"/>
    <d v="2021-12-29T00:00:00"/>
    <d v="2022-09-26T00:00:00"/>
    <s v="180+"/>
    <s v="Africa"/>
    <n v="1633"/>
    <n v="3458121"/>
    <s v="PO4000096210"/>
    <s v="SO91121296210"/>
    <s v="51121260740"/>
    <d v="2021-12-15T00:00:00"/>
    <s v="1355937"/>
    <x v="0"/>
    <s v="Unknown Deduction"/>
    <n v="11.34"/>
    <n v="1865"/>
    <d v="2026-06-22T00:00:00"/>
    <s v="Credit Team"/>
    <s v="Under Credit Team validation"/>
    <s v="No"/>
    <s v="N/A"/>
    <s v="UN"/>
    <n v="100181"/>
    <s v="Ella Bennett"/>
    <n v="100151"/>
    <s v="Mason Reynolds"/>
    <n v="4"/>
    <s v="Patrick Hayes"/>
    <s v="Mason Reynolds"/>
    <s v="Description -  This Req has been handled by Credit Team and this is related to Unknown Deduction"/>
  </r>
  <r>
    <s v="A100"/>
    <s v="AFRA100"/>
    <s v="A100-141"/>
    <d v="2022-02-05T00:00:00"/>
    <d v="2022-02-05T00:00:00"/>
    <s v="180+"/>
    <s v="Africa"/>
    <n v="1595"/>
    <n v="3494891"/>
    <s v="PO3967802355"/>
    <s v="SO90113302355"/>
    <s v="50113396785"/>
    <d v="2022-01-14T00:00:00"/>
    <s v="1355937"/>
    <x v="0"/>
    <s v="Unknown Deduction"/>
    <n v="159"/>
    <n v="159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2-03-10T00:00:00"/>
    <d v="2022-06-02T00:00:00"/>
    <s v="180+"/>
    <s v="Africa"/>
    <n v="1562"/>
    <n v="3507341"/>
    <s v="PO4000067271"/>
    <s v="SO91123867271"/>
    <s v="51123853671"/>
    <d v="2022-02-25T00:00:00"/>
    <s v="1355937"/>
    <x v="0"/>
    <s v="Unknown Deduction"/>
    <n v="273.39"/>
    <n v="27835"/>
    <d v="2026-06-22T00:00:00"/>
    <s v="Credit Team"/>
    <s v="Under Credit Team validation"/>
    <s v="No"/>
    <s v="N/A"/>
    <s v="UN"/>
    <n v="100261"/>
    <s v="Taylor Jennings"/>
    <n v="100191"/>
    <s v="Dominic Flores"/>
    <n v="4"/>
    <s v="Patrick Hayes"/>
    <s v="Dominic Flores"/>
    <s v="Description -  This Req has been handled by Credit Team and this is related to Unknown Deduction"/>
  </r>
  <r>
    <s v="A100"/>
    <s v="AFRA100"/>
    <s v="A100-141"/>
    <d v="2022-04-21T00:00:00"/>
    <d v="2022-04-21T00:00:00"/>
    <s v="180+"/>
    <s v="Africa"/>
    <n v="1520"/>
    <n v="3543041"/>
    <s v="PO4000055874"/>
    <s v="SO91125455874"/>
    <s v="51125487144"/>
    <d v="2022-04-07T00:00:00"/>
    <s v="1355937"/>
    <x v="0"/>
    <s v="Unknown Deduction"/>
    <n v="1865"/>
    <n v="1865"/>
    <d v="2026-06-22T00:00:00"/>
    <s v="Credit Team"/>
    <s v="Under Credit Team validation"/>
    <s v="No"/>
    <s v="N/A"/>
    <s v="UN"/>
    <n v="100101"/>
    <s v="James Mitchell"/>
    <n v="100111"/>
    <s v="Andrew Ross"/>
    <n v="4"/>
    <s v="Patrick Hayes"/>
    <s v="Andrew Ross"/>
    <s v="Description -  This Req has been handled by Credit Team and this is related to Unknown Deduction"/>
  </r>
  <r>
    <s v="A100"/>
    <s v="AFRA100"/>
    <s v="A100-141"/>
    <d v="2022-05-20T00:00:00"/>
    <d v="2022-05-20T00:00:00"/>
    <s v="180+"/>
    <s v="Africa"/>
    <n v="1491"/>
    <n v="3565881"/>
    <s v="PO3020520790"/>
    <s v="SO91126820790"/>
    <s v="51126815540"/>
    <d v="2022-05-11T00:00:00"/>
    <s v="1355937"/>
    <x v="0"/>
    <s v="Unknown Deduction"/>
    <n v="150"/>
    <n v="150"/>
    <d v="2026-06-22T00:00:00"/>
    <s v="Credit Team"/>
    <s v="Under Credit Team validation"/>
    <s v="No"/>
    <s v="N/A"/>
    <s v="UN"/>
    <n v="100141"/>
    <s v="Liam Matthews"/>
    <n v="100121"/>
    <s v="Olivia Jenkins"/>
    <n v="4"/>
    <s v="Patrick Hayes"/>
    <s v="Olivia Jenkins"/>
    <s v="Description -  This Req has been handled by Credit Team and this is related to Unknown Deduction"/>
  </r>
  <r>
    <s v="A100"/>
    <s v="AFRA100"/>
    <s v="A100-141"/>
    <d v="2022-05-20T00:00:00"/>
    <d v="2022-05-21T00:00:00"/>
    <s v="180+"/>
    <s v="Africa"/>
    <n v="1491"/>
    <n v="3570371"/>
    <s v="PO4000062019"/>
    <s v="SO91126862019"/>
    <s v="51126816369"/>
    <d v="2022-05-13T00:00:00"/>
    <s v="1355937"/>
    <x v="0"/>
    <s v="Unknown Deduction"/>
    <n v="330.16"/>
    <n v="330.16"/>
    <d v="2026-06-22T00:00:00"/>
    <s v="Credit Team"/>
    <s v="Under Credit Team validation"/>
    <s v="No"/>
    <s v="N/A"/>
    <s v="UN"/>
    <n v="100181"/>
    <s v="Ella Bennett"/>
    <n v="100151"/>
    <s v="Mason Reynolds"/>
    <n v="4"/>
    <s v="Patrick Hayes"/>
    <s v="Mason Reynolds"/>
    <s v="Description -  This Req has been handled by Credit Team and this is related to Unknown Deduction"/>
  </r>
  <r>
    <s v="A100"/>
    <s v="AFRA100"/>
    <s v="A100-141"/>
    <d v="2022-06-09T00:00:00"/>
    <d v="2022-08-19T00:00:00"/>
    <s v="180+"/>
    <s v="Africa"/>
    <n v="1471"/>
    <n v="3603501"/>
    <s v="PO9697144477"/>
    <s v="SO90113944477"/>
    <s v="50113969717"/>
    <d v="2022-05-23T00:00:00"/>
    <s v="1355937"/>
    <x v="0"/>
    <s v="Unknown Deduction"/>
    <n v="1345.89"/>
    <n v="3971.04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2-08-17T00:00:00"/>
    <d v="2023-12-15T00:00:00"/>
    <s v="180+"/>
    <s v="Africa"/>
    <n v="1402"/>
    <n v="3659321"/>
    <s v="PO1966509393"/>
    <s v="SO90114109393"/>
    <s v="50114196653"/>
    <d v="2022-08-16T00:00:00"/>
    <s v="1355937"/>
    <x v="0"/>
    <s v="Discount"/>
    <n v="498.15"/>
    <n v="498.15"/>
    <d v="2026-06-22T00:00:00"/>
    <s v="Credit Team"/>
    <s v="Under Credit Team validation"/>
    <s v="No"/>
    <s v="N/A"/>
    <s v="DI"/>
    <n v="100261"/>
    <s v="Taylor Jennings"/>
    <n v="100191"/>
    <s v="Dominic Flores"/>
    <n v="4"/>
    <s v="Patrick Hayes"/>
    <s v="Dominic Flores"/>
    <s v="Description -  This Req has been handled by Credit Team and this is related to Discount"/>
  </r>
  <r>
    <s v="A100"/>
    <s v="AFRA100"/>
    <s v="A100-141"/>
    <d v="2022-09-07T00:00:00"/>
    <d v="2023-02-17T00:00:00"/>
    <s v="180+"/>
    <s v="Africa"/>
    <n v="1381"/>
    <n v="3673421"/>
    <s v="PO3020774309"/>
    <s v="SO91130974309"/>
    <s v="51130936049"/>
    <d v="2022-07-29T00:00:00"/>
    <s v="1355937"/>
    <x v="0"/>
    <s v="Resolve with Buyer"/>
    <n v="150"/>
    <n v="150"/>
    <d v="2026-06-22T00:00:00"/>
    <s v="Sales Team"/>
    <s v="Under Sales Team validation"/>
    <s v="No"/>
    <s v="N/A"/>
    <s v="RB"/>
    <n v="100121"/>
    <s v="Olivia Jenkins"/>
    <n v="100121"/>
    <s v="Olivia Jenkins"/>
    <n v="4"/>
    <s v="Patrick Hayes"/>
    <s v="Olivia Jenkins"/>
    <s v="Description -  This Req has been handled by Sales Team and this is related to Resolve with Buyer"/>
  </r>
  <r>
    <s v="A100"/>
    <s v="AFRA100"/>
    <s v="A100-141"/>
    <d v="2022-09-09T00:00:00"/>
    <d v="2022-11-24T00:00:00"/>
    <s v="180+"/>
    <s v="Africa"/>
    <n v="1379"/>
    <n v="3705781"/>
    <s v="PO4418115538"/>
    <s v="SO91128315538"/>
    <s v="51128354018"/>
    <d v="2022-08-23T00:00:00"/>
    <s v="1355937"/>
    <x v="0"/>
    <s v="Unknown Deduction"/>
    <n v="1.35"/>
    <n v="219"/>
    <d v="2026-06-22T00:00:00"/>
    <s v="Credit Team"/>
    <s v="Under Credit Team validation"/>
    <s v="No"/>
    <s v="N/A"/>
    <s v="UN"/>
    <n v="100101"/>
    <s v="James Mitchell"/>
    <n v="100111"/>
    <s v="Andrew Ross"/>
    <n v="4"/>
    <s v="Patrick Hayes"/>
    <s v="Andrew Ross"/>
    <s v="Description -  This Req has been handled by Credit Team and this is related to Unknown Deduction"/>
  </r>
  <r>
    <s v="A100"/>
    <s v="AFRA100"/>
    <s v="A100-141"/>
    <d v="2022-09-10T00:00:00"/>
    <d v="2022-10-19T00:00:00"/>
    <s v="180+"/>
    <s v="Africa"/>
    <n v="1378"/>
    <n v="3706571"/>
    <s v="PO4000056767"/>
    <s v="SO91132256767"/>
    <s v="51132294047"/>
    <d v="2022-08-29T00:00:00"/>
    <s v="1355937"/>
    <x v="0"/>
    <s v="Unknown Deduction"/>
    <n v="25.32"/>
    <n v="2593.17"/>
    <d v="2026-06-22T00:00:00"/>
    <s v="Credit Team"/>
    <s v="Under Credit Team validation"/>
    <s v="No"/>
    <s v="N/A"/>
    <s v="UN"/>
    <n v="100141"/>
    <s v="Liam Matthews"/>
    <n v="100121"/>
    <s v="Olivia Jenkins"/>
    <n v="4"/>
    <s v="Patrick Hayes"/>
    <s v="Olivia Jenkins"/>
    <s v="Description -  This Req has been handled by Credit Team and this is related to Unknown Deduction"/>
  </r>
  <r>
    <s v="A100"/>
    <s v="AFRA100"/>
    <s v="A100-141"/>
    <d v="2022-11-08T00:00:00"/>
    <d v="2022-11-10T00:00:00"/>
    <s v="180+"/>
    <s v="Africa"/>
    <n v="1319"/>
    <n v="3753181"/>
    <s v="PO4000027828"/>
    <s v="SO91133927828"/>
    <s v="51133918258"/>
    <d v="2022-10-20T00:00:00"/>
    <s v="1355937"/>
    <x v="0"/>
    <s v="Discount"/>
    <n v="1034.6099999999999"/>
    <n v="1034.6099999999999"/>
    <d v="2026-06-22T00:00:00"/>
    <s v="Credit Team"/>
    <s v="Under Credit Team validation"/>
    <s v="No"/>
    <s v="N/A"/>
    <s v="DI"/>
    <n v="100181"/>
    <s v="Ella Bennett"/>
    <n v="100151"/>
    <s v="Mason Reynolds"/>
    <n v="4"/>
    <s v="Patrick Hayes"/>
    <s v="Mason Reynolds"/>
    <s v="Description -  This Req has been handled by Credit Team and this is related to Discount"/>
  </r>
  <r>
    <s v="A100"/>
    <s v="AFRA100"/>
    <s v="A100-141"/>
    <d v="2022-11-18T00:00:00"/>
    <d v="2022-11-18T00:00:00"/>
    <s v="180+"/>
    <s v="Africa"/>
    <n v="1309"/>
    <n v="3764479"/>
    <s v="POC220792744"/>
    <s v="SO90114592744"/>
    <s v="50114552594"/>
    <d v="2022-11-02T00:00:00"/>
    <s v="1355937"/>
    <x v="0"/>
    <s v="Discount"/>
    <n v="888.77"/>
    <n v="888.77"/>
    <d v="2026-06-22T00:00:00"/>
    <s v="Credit Team"/>
    <s v="Under Credit Team validation"/>
    <s v="No"/>
    <s v="N/A"/>
    <s v="DI"/>
    <n v="100221"/>
    <s v="Eli Hudson"/>
    <n v="100161"/>
    <s v="Connor Bishop"/>
    <n v="4"/>
    <s v="Patrick Hayes"/>
    <s v="Connor Bishop"/>
    <s v="Description -  This Req has been handled by Credit Team and this is related to Discount"/>
  </r>
  <r>
    <s v="A100"/>
    <s v="AFRA100"/>
    <s v="A100-141"/>
    <d v="2022-11-18T00:00:00"/>
    <d v="2022-11-18T00:00:00"/>
    <s v="180+"/>
    <s v="Africa"/>
    <n v="1309"/>
    <n v="3767809"/>
    <s v="PO4417533973"/>
    <s v="SO91129233973"/>
    <s v="51129213383"/>
    <d v="2022-11-02T00:00:00"/>
    <s v="1355937"/>
    <x v="0"/>
    <s v="Discount"/>
    <n v="888.77"/>
    <n v="888.77"/>
    <d v="2026-06-22T00:00:00"/>
    <s v="Credit Team"/>
    <s v="Under Credit Team validation"/>
    <s v="No"/>
    <s v="N/A"/>
    <s v="DI"/>
    <n v="100261"/>
    <s v="Taylor Jennings"/>
    <n v="100191"/>
    <s v="Dominic Flores"/>
    <n v="4"/>
    <s v="Patrick Hayes"/>
    <s v="Dominic Flores"/>
    <s v="Description -  This Req has been handled by Credit Team and this is related to Discount"/>
  </r>
  <r>
    <s v="A100"/>
    <s v="AFRA100"/>
    <s v="A100-141"/>
    <d v="2022-11-18T00:00:00"/>
    <d v="2022-11-18T00:00:00"/>
    <s v="180+"/>
    <s v="Africa"/>
    <n v="1309"/>
    <n v="3773659"/>
    <s v="PO3008875202"/>
    <s v="SO91134775202"/>
    <s v="51134786532"/>
    <d v="2022-11-02T00:00:00"/>
    <s v="1355937"/>
    <x v="0"/>
    <s v="Discount"/>
    <n v="296.26"/>
    <n v="296.26"/>
    <d v="2026-06-22T00:00:00"/>
    <s v="Credit Team"/>
    <s v="Under Credit Team validation"/>
    <s v="No"/>
    <s v="N/A"/>
    <s v="DI"/>
    <n v="100101"/>
    <s v="James Mitchell"/>
    <n v="100111"/>
    <s v="Andrew Ross"/>
    <n v="4"/>
    <s v="Patrick Hayes"/>
    <s v="Andrew Ross"/>
    <s v="Description -  This Req has been handled by Credit Team and this is related to Discount"/>
  </r>
  <r>
    <s v="A100"/>
    <s v="AFRA100"/>
    <s v="A100-141"/>
    <d v="2022-12-14T00:00:00"/>
    <d v="2022-12-15T00:00:00"/>
    <s v="180+"/>
    <s v="Africa"/>
    <n v="1283"/>
    <n v="3792619"/>
    <s v="POC220898889"/>
    <s v="SO91131298889"/>
    <s v="51131284889"/>
    <d v="2022-11-29T00:00:00"/>
    <s v="1355937"/>
    <x v="0"/>
    <s v="Discount"/>
    <n v="539.20000000000005"/>
    <n v="539.20000000000005"/>
    <d v="2026-06-22T00:00:00"/>
    <s v="Credit Team"/>
    <s v="Under Credit Team validation"/>
    <s v="No"/>
    <s v="N/A"/>
    <s v="DI"/>
    <n v="100141"/>
    <s v="Liam Matthews"/>
    <n v="100121"/>
    <s v="Olivia Jenkins"/>
    <n v="4"/>
    <s v="Patrick Hayes"/>
    <s v="Olivia Jenkins"/>
    <s v="Description -  This Req has been handled by Credit Team and this is related to Discount"/>
  </r>
  <r>
    <s v="A100"/>
    <s v="AFRA100"/>
    <s v="A100-141"/>
    <d v="2023-03-03T00:00:00"/>
    <d v="2023-12-15T00:00:00"/>
    <s v="180+"/>
    <s v="Africa"/>
    <n v="1204"/>
    <n v="3853698"/>
    <s v="PO3006088385"/>
    <s v="SO91137788385"/>
    <s v="51137782005"/>
    <d v="2023-03-02T00:00:00"/>
    <s v="1355937"/>
    <x v="0"/>
    <s v="Discount"/>
    <n v="1580.1"/>
    <n v="1580.1"/>
    <d v="2026-06-22T00:00:00"/>
    <s v="Credit Team"/>
    <s v="Under Credit Team validation"/>
    <s v="No"/>
    <s v="N/A"/>
    <s v="DI"/>
    <n v="100181"/>
    <s v="Ella Bennett"/>
    <n v="100151"/>
    <s v="Mason Reynolds"/>
    <n v="4"/>
    <s v="Patrick Hayes"/>
    <s v="Mason Reynolds"/>
    <s v="Description -  This Req has been handled by Credit Team and this is related to Discount"/>
  </r>
  <r>
    <s v="A100"/>
    <s v="AFRA100"/>
    <s v="A100-141"/>
    <d v="2023-03-10T00:00:00"/>
    <d v="2023-03-10T00:00:00"/>
    <s v="180+"/>
    <s v="Africa"/>
    <n v="1197"/>
    <n v="3858828"/>
    <s v="POC221012072"/>
    <s v="SO91133712072"/>
    <s v="51133797972"/>
    <d v="2023-02-23T00:00:00"/>
    <s v="1355937"/>
    <x v="0"/>
    <s v="Unknown Deduction"/>
    <n v="387.77"/>
    <n v="387.77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3-04-19T00:00:00"/>
    <d v="2023-12-15T00:00:00"/>
    <s v="180+"/>
    <s v="Africa"/>
    <n v="1157"/>
    <n v="3893018"/>
    <s v="POC221100675"/>
    <s v="SO91134600675"/>
    <s v="51134600075"/>
    <d v="2023-04-17T00:00:00"/>
    <s v="1355937"/>
    <x v="0"/>
    <s v="Discount"/>
    <n v="546.62"/>
    <n v="546.62"/>
    <d v="2026-06-22T00:00:00"/>
    <s v="Credit Team"/>
    <s v="Under Credit Team validation"/>
    <s v="No"/>
    <s v="N/A"/>
    <s v="DI"/>
    <n v="100261"/>
    <s v="Taylor Jennings"/>
    <n v="100191"/>
    <s v="Dominic Flores"/>
    <n v="4"/>
    <s v="Patrick Hayes"/>
    <s v="Dominic Flores"/>
    <s v="Description -  This Req has been handled by Credit Team and this is related to Discount"/>
  </r>
  <r>
    <s v="A100"/>
    <s v="AFRA100"/>
    <s v="A100-141"/>
    <d v="2023-04-28T00:00:00"/>
    <d v="2024-10-16T00:00:00"/>
    <s v="180+"/>
    <s v="Africa"/>
    <n v="1148"/>
    <n v="3901428"/>
    <s v="PO1221271736"/>
    <s v="SO90115171736"/>
    <s v="50115122126"/>
    <d v="2023-04-22T00:00:00"/>
    <s v="1355937"/>
    <x v="0"/>
    <s v="PO Closed"/>
    <n v="5358.94"/>
    <n v="5358.94"/>
    <d v="2026-06-22T00:00:00"/>
    <s v="Sales Team"/>
    <s v="Under Sales Team validation"/>
    <s v="No"/>
    <s v="N/A"/>
    <s v="PC"/>
    <n v="100151"/>
    <s v="Mason Reynolds"/>
    <n v="100151"/>
    <s v="Mason Reynolds"/>
    <n v="4"/>
    <s v="Patrick Hayes"/>
    <s v="Mason Reynolds"/>
    <s v="Description -  This Req has been handled by Sales Team and this is related to PO Closed"/>
  </r>
  <r>
    <s v="A100"/>
    <s v="AFRA100"/>
    <s v="A100-141"/>
    <d v="2023-05-10T00:00:00"/>
    <d v="2025-05-09T00:00:00"/>
    <s v="180+"/>
    <s v="Africa"/>
    <n v="1136"/>
    <n v="3929698"/>
    <s v="PO7472025255"/>
    <s v="SO91127425255"/>
    <s v="51127489015"/>
    <d v="2023-05-08T00:00:00"/>
    <s v="1355937"/>
    <x v="0"/>
    <s v="Unknown Deduction"/>
    <n v="496.47"/>
    <n v="496.47"/>
    <d v="2026-06-22T00:00:00"/>
    <s v="Credit Team"/>
    <s v="Under Credit Team validation"/>
    <s v="No"/>
    <s v="N/A"/>
    <s v="UN"/>
    <n v="100101"/>
    <s v="James Mitchell"/>
    <n v="100111"/>
    <s v="Andrew Ross"/>
    <n v="4"/>
    <s v="Patrick Hayes"/>
    <s v="Andrew Ross"/>
    <s v="Description -  This Req has been handled by Credit Team and this is related to Unknown Deduction"/>
  </r>
  <r>
    <s v="A100"/>
    <s v="AFRA100"/>
    <s v="A100-141"/>
    <d v="2023-06-01T00:00:00"/>
    <d v="2023-12-15T00:00:00"/>
    <s v="180+"/>
    <s v="Africa"/>
    <n v="1114"/>
    <n v="3932238"/>
    <s v="PO4416990171"/>
    <s v="SO91136390171"/>
    <s v="51136369641"/>
    <d v="2023-05-31T00:00:00"/>
    <s v="1355937"/>
    <x v="0"/>
    <s v="Unknown Deduction"/>
    <n v="10.07"/>
    <n v="439.51"/>
    <d v="2026-06-22T00:00:00"/>
    <s v="Credit Team"/>
    <s v="Under Credit Team validation"/>
    <s v="No"/>
    <s v="N/A"/>
    <s v="UN"/>
    <n v="100141"/>
    <s v="Liam Matthews"/>
    <n v="100121"/>
    <s v="Olivia Jenkins"/>
    <n v="4"/>
    <s v="Patrick Hayes"/>
    <s v="Olivia Jenkins"/>
    <s v="Description -  This Req has been handled by Credit Team and this is related to Unknown Deduction"/>
  </r>
  <r>
    <s v="A100"/>
    <s v="AFRA100"/>
    <s v="A100-141"/>
    <d v="2023-07-04T00:00:00"/>
    <d v="2025-05-09T00:00:00"/>
    <s v="180+"/>
    <s v="Africa"/>
    <n v="1081"/>
    <n v="3963127"/>
    <s v="PO4417849835"/>
    <s v="SO91137349835"/>
    <s v="51137319015"/>
    <d v="2023-06-30T00:00:00"/>
    <s v="1355937"/>
    <x v="0"/>
    <s v="Unknown Deduction"/>
    <n v="567.25"/>
    <n v="567.25"/>
    <d v="2026-06-22T00:00:00"/>
    <s v="Credit Team"/>
    <s v="Under Credit Team validation"/>
    <s v="No"/>
    <s v="N/A"/>
    <s v="UN"/>
    <n v="100181"/>
    <s v="Ella Bennett"/>
    <n v="100151"/>
    <s v="Mason Reynolds"/>
    <n v="4"/>
    <s v="Patrick Hayes"/>
    <s v="Mason Reynolds"/>
    <s v="Description -  This Req has been handled by Credit Team and this is related to Unknown Deduction"/>
  </r>
  <r>
    <s v="A100"/>
    <s v="AFRA100"/>
    <s v="A100-141"/>
    <d v="2023-07-14T00:00:00"/>
    <d v="2023-07-14T00:00:00"/>
    <s v="180+"/>
    <s v="Africa"/>
    <n v="1071"/>
    <n v="3973397"/>
    <s v="POC230287598"/>
    <s v="SO91137787598"/>
    <s v="51137732708"/>
    <d v="2023-06-29T00:00:00"/>
    <s v="1355937"/>
    <x v="0"/>
    <s v="Unknown Deduction"/>
    <n v="758.94"/>
    <n v="758.94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3-08-09T00:00:00"/>
    <d v="2023-12-14T00:00:00"/>
    <s v="180+"/>
    <s v="Africa"/>
    <n v="1045"/>
    <n v="3988707"/>
    <s v="PO0441235865"/>
    <s v="SO94107035865"/>
    <s v="54107044125"/>
    <d v="2023-08-07T00:00:00"/>
    <s v="1355937"/>
    <x v="0"/>
    <s v="Discount"/>
    <n v="1857.28"/>
    <n v="1857.28"/>
    <d v="2026-06-22T00:00:00"/>
    <s v="Credit Team"/>
    <s v="Under Credit Team validation"/>
    <s v="No"/>
    <s v="N/A"/>
    <s v="DI"/>
    <n v="100261"/>
    <s v="Taylor Jennings"/>
    <n v="100191"/>
    <s v="Dominic Flores"/>
    <n v="4"/>
    <s v="Patrick Hayes"/>
    <s v="Dominic Flores"/>
    <s v="Description -  This Req has been handled by Credit Team and this is related to Discount"/>
  </r>
  <r>
    <s v="A100"/>
    <s v="AFRA100"/>
    <s v="A100-141"/>
    <d v="2023-08-12T00:00:00"/>
    <d v="2023-12-13T00:00:00"/>
    <s v="180+"/>
    <s v="Africa"/>
    <n v="1042"/>
    <n v="3992617"/>
    <s v="PO3006018323"/>
    <s v="SO91143318323"/>
    <s v="51143318033"/>
    <d v="2023-07-26T00:00:00"/>
    <s v="1355937"/>
    <x v="0"/>
    <s v="Discount"/>
    <n v="1785.54"/>
    <n v="1785.54"/>
    <d v="2026-06-22T00:00:00"/>
    <s v="Credit Team"/>
    <s v="Under Credit Team validation"/>
    <s v="No"/>
    <s v="N/A"/>
    <s v="DI"/>
    <n v="100101"/>
    <s v="James Mitchell"/>
    <n v="100111"/>
    <s v="Andrew Ross"/>
    <n v="4"/>
    <s v="Patrick Hayes"/>
    <s v="Andrew Ross"/>
    <s v="Description -  This Req has been handled by Credit Team and this is related to Discount"/>
  </r>
  <r>
    <s v="A100"/>
    <s v="AFRA100"/>
    <s v="A100-141"/>
    <d v="2023-08-15T00:00:00"/>
    <d v="2023-12-13T00:00:00"/>
    <s v="180+"/>
    <s v="Africa"/>
    <n v="1039"/>
    <n v="3993637"/>
    <s v="PO4416859552"/>
    <s v="SO91135159552"/>
    <s v="51135181752"/>
    <d v="2023-08-01T00:00:00"/>
    <s v="1355937"/>
    <x v="0"/>
    <s v="Unknown Deduction"/>
    <n v="54.18"/>
    <n v="2033.31"/>
    <d v="2026-06-22T00:00:00"/>
    <s v="Credit Team"/>
    <s v="Under Credit Team validation"/>
    <s v="No"/>
    <s v="N/A"/>
    <s v="UN"/>
    <n v="100141"/>
    <s v="Liam Matthews"/>
    <n v="100121"/>
    <s v="Olivia Jenkins"/>
    <n v="4"/>
    <s v="Patrick Hayes"/>
    <s v="Olivia Jenkins"/>
    <s v="Description -  This Req has been handled by Credit Team and this is related to Unknown Deduction"/>
  </r>
  <r>
    <s v="A100"/>
    <s v="AFRA100"/>
    <s v="A100-141"/>
    <d v="2023-08-24T00:00:00"/>
    <d v="2023-12-13T00:00:00"/>
    <s v="180+"/>
    <s v="Africa"/>
    <n v="1030"/>
    <n v="4006147"/>
    <s v="PO4419224468"/>
    <s v="SO91140324468"/>
    <s v="51140310188"/>
    <d v="2023-08-11T00:00:00"/>
    <s v="1355937"/>
    <x v="0"/>
    <s v="Discount"/>
    <n v="724.42"/>
    <n v="724.42"/>
    <d v="2026-06-22T00:00:00"/>
    <s v="Credit Team"/>
    <s v="Under Credit Team validation"/>
    <s v="No"/>
    <s v="N/A"/>
    <s v="DI"/>
    <n v="100181"/>
    <s v="Ella Bennett"/>
    <n v="100151"/>
    <s v="Mason Reynolds"/>
    <n v="4"/>
    <s v="Patrick Hayes"/>
    <s v="Mason Reynolds"/>
    <s v="Description -  This Req has been handled by Credit Team and this is related to Discount"/>
  </r>
  <r>
    <s v="A100"/>
    <s v="AFRA100"/>
    <s v="A100-141"/>
    <d v="2023-08-30T00:00:00"/>
    <d v="2023-12-13T00:00:00"/>
    <s v="180+"/>
    <s v="Africa"/>
    <n v="1024"/>
    <n v="4007117"/>
    <s v="PO4419360445"/>
    <s v="SO91140860445"/>
    <s v="51140866355"/>
    <d v="2023-08-17T00:00:00"/>
    <s v="1355937"/>
    <x v="0"/>
    <s v="Unknown Deduction"/>
    <n v="777.04"/>
    <n v="777.04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3-09-29T00:00:00"/>
    <d v="2023-12-13T00:00:00"/>
    <s v="180+"/>
    <s v="Africa"/>
    <n v="994"/>
    <n v="4039836"/>
    <s v="PO4419237651"/>
    <s v="SO91141037651"/>
    <s v="51141079771"/>
    <d v="2023-09-18T00:00:00"/>
    <s v="1355937"/>
    <x v="0"/>
    <s v="Discount"/>
    <n v="504.47"/>
    <n v="504.47"/>
    <d v="2026-06-22T00:00:00"/>
    <s v="Credit Team"/>
    <s v="Under Credit Team validation"/>
    <s v="No"/>
    <s v="N/A"/>
    <s v="DI"/>
    <n v="100261"/>
    <s v="Taylor Jennings"/>
    <n v="100191"/>
    <s v="Dominic Flores"/>
    <n v="4"/>
    <s v="Patrick Hayes"/>
    <s v="Dominic Flores"/>
    <s v="Description -  This Req has been handled by Credit Team and this is related to Discount"/>
  </r>
  <r>
    <s v="A100"/>
    <s v="AFRA100"/>
    <s v="A100-141"/>
    <d v="2023-10-04T00:00:00"/>
    <d v="2023-12-15T00:00:00"/>
    <s v="180+"/>
    <s v="Africa"/>
    <n v="989"/>
    <n v="4039816"/>
    <s v="PO4419178880"/>
    <s v="SO91141078880"/>
    <s v="51141079730"/>
    <d v="2023-10-02T00:00:00"/>
    <s v="1355937"/>
    <x v="0"/>
    <s v="Discount"/>
    <n v="439.16"/>
    <n v="439.16"/>
    <d v="2026-06-22T00:00:00"/>
    <s v="Credit Team"/>
    <s v="Under Credit Team validation"/>
    <s v="No"/>
    <s v="N/A"/>
    <s v="DI"/>
    <n v="100101"/>
    <s v="James Mitchell"/>
    <n v="100111"/>
    <s v="Andrew Ross"/>
    <n v="4"/>
    <s v="Patrick Hayes"/>
    <s v="Andrew Ross"/>
    <s v="Description -  This Req has been handled by Credit Team and this is related to Discount"/>
  </r>
  <r>
    <s v="A100"/>
    <s v="AFRA100"/>
    <s v="A100-141"/>
    <d v="2023-10-07T00:00:00"/>
    <d v="2023-12-13T00:00:00"/>
    <s v="180+"/>
    <s v="Africa"/>
    <n v="986"/>
    <n v="4042336"/>
    <s v="PO4417869269"/>
    <s v="SO91141169269"/>
    <s v="51141103759"/>
    <d v="2023-09-25T00:00:00"/>
    <s v="1355937"/>
    <x v="0"/>
    <s v="Discount"/>
    <n v="445.06"/>
    <n v="445.06"/>
    <d v="2026-06-22T00:00:00"/>
    <s v="Credit Team"/>
    <s v="Under Credit Team validation"/>
    <s v="No"/>
    <s v="N/A"/>
    <s v="DI"/>
    <n v="100141"/>
    <s v="Liam Matthews"/>
    <n v="100121"/>
    <s v="Olivia Jenkins"/>
    <n v="4"/>
    <s v="Patrick Hayes"/>
    <s v="Olivia Jenkins"/>
    <s v="Description -  This Req has been handled by Credit Team and this is related to Discount"/>
  </r>
  <r>
    <s v="A100"/>
    <s v="AFRA100"/>
    <s v="A100-141"/>
    <d v="2023-10-28T00:00:00"/>
    <d v="2024-04-10T00:00:00"/>
    <s v="180+"/>
    <s v="Africa"/>
    <n v="965"/>
    <n v="4043756"/>
    <s v="PO3006092956"/>
    <s v="SO91145192956"/>
    <s v="51145127686"/>
    <d v="2022-04-01T00:00:00"/>
    <s v="1355937"/>
    <x v="0"/>
    <s v="Wrong PO Number"/>
    <n v="630.16"/>
    <n v="630.16"/>
    <d v="2026-06-22T00:00:00"/>
    <s v="Sales Team"/>
    <s v="Under Sales Team validation"/>
    <s v="No"/>
    <s v="N/A"/>
    <s v="WP"/>
    <n v="100161"/>
    <s v="Connor Bishop"/>
    <n v="100161"/>
    <s v="Connor Bishop"/>
    <n v="4"/>
    <s v="Patrick Hayes"/>
    <s v="Connor Bishop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54126"/>
    <s v="PO8036834185"/>
    <s v="SO90115834185"/>
    <s v="50115803685"/>
    <d v="2022-04-01T00:00:00"/>
    <s v="1355937"/>
    <x v="0"/>
    <s v="Wrong PO Number"/>
    <n v="630.16"/>
    <n v="630.16"/>
    <d v="2026-06-22T00:00:00"/>
    <s v="Sales Team"/>
    <s v="Under Sales Team validation"/>
    <s v="No"/>
    <s v="N/A"/>
    <s v="WP"/>
    <n v="100191"/>
    <s v="Dominic Flores"/>
    <n v="100191"/>
    <s v="Dominic Flores"/>
    <n v="4"/>
    <s v="Patrick Hayes"/>
    <s v="Dominic Flore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306"/>
    <s v="PO4000175414"/>
    <s v="SO91133475414"/>
    <s v="51133426574"/>
    <d v="2022-04-01T00:00:00"/>
    <s v="1355937"/>
    <x v="0"/>
    <s v="Wrong PO Number"/>
    <n v="630.16"/>
    <n v="630.16"/>
    <d v="2026-06-22T00:00:00"/>
    <s v="Sales Team"/>
    <s v="Under Sales Team validation"/>
    <s v="No"/>
    <s v="N/A"/>
    <s v="WP"/>
    <n v="100201"/>
    <s v="Aiden Harper"/>
    <n v="100201"/>
    <s v="Aiden Harper"/>
    <n v="4"/>
    <s v="Patrick Hayes"/>
    <s v="Aiden Harper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856"/>
    <s v="POON EX16643"/>
    <s v="SO91125216643"/>
    <s v="51125249803"/>
    <d v="2022-04-01T00:00:00"/>
    <s v="1355937"/>
    <x v="0"/>
    <s v="Wrong PO Number"/>
    <n v="630.16"/>
    <n v="630.16"/>
    <d v="2026-06-22T00:00:00"/>
    <s v="Sales Team"/>
    <s v="Under Sales Team validation"/>
    <s v="No"/>
    <s v="N/A"/>
    <s v="WP"/>
    <n v="100231"/>
    <s v="Jackson Norris"/>
    <n v="100231"/>
    <s v="Jackson Norris"/>
    <n v="4"/>
    <s v="Patrick Hayes"/>
    <s v="Jackson Norri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436"/>
    <s v="POON EX57872"/>
    <s v="SO91125157872"/>
    <s v="51125154672"/>
    <d v="2022-04-01T00:00:00"/>
    <s v="1355937"/>
    <x v="0"/>
    <s v="Wrong PO Number"/>
    <n v="630.16"/>
    <n v="630.16"/>
    <d v="2026-06-22T00:00:00"/>
    <s v="Sales Team"/>
    <s v="Under Sales Team validation"/>
    <s v="No"/>
    <s v="N/A"/>
    <s v="WP"/>
    <n v="100241"/>
    <s v="Leah Pearson"/>
    <n v="100241"/>
    <s v="Leah Pearson"/>
    <n v="4"/>
    <s v="Patrick Hayes"/>
    <s v="Leah Pearson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816"/>
    <s v="POON EX99101"/>
    <s v="SO91125199101"/>
    <s v="51125154771"/>
    <d v="2022-04-01T00:00:00"/>
    <s v="1355937"/>
    <x v="0"/>
    <s v="Wrong PO Number"/>
    <n v="1606.06"/>
    <n v="1606.06"/>
    <d v="2026-06-22T00:00:00"/>
    <s v="Sales Team"/>
    <s v="Under Sales Team validation"/>
    <s v="No"/>
    <s v="N/A"/>
    <s v="WP"/>
    <n v="100271"/>
    <s v="Brooke Palmer"/>
    <n v="100271"/>
    <s v="Brooke Palmer"/>
    <n v="4"/>
    <s v="Patrick Hayes"/>
    <s v="Brooke Palmer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766"/>
    <s v="POON EX40330"/>
    <s v="SO91125140330"/>
    <s v="51125154760"/>
    <d v="2022-04-01T00:00:00"/>
    <s v="1355937"/>
    <x v="0"/>
    <s v="Wrong PO Number"/>
    <n v="750"/>
    <n v="750"/>
    <d v="2026-06-22T00:00:00"/>
    <s v="Sales Team"/>
    <s v="Under Sales Team validation"/>
    <s v="No"/>
    <s v="N/A"/>
    <s v="WP"/>
    <n v="100281"/>
    <s v="Grace Whitaker"/>
    <n v="100281"/>
    <s v="Grace Whitaker"/>
    <n v="4"/>
    <s v="Patrick Hayes"/>
    <s v="Grace Whitaker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636"/>
    <s v="POON EX81559"/>
    <s v="SO91125181559"/>
    <s v="51125154809"/>
    <d v="2022-04-01T00:00:00"/>
    <s v="1355937"/>
    <x v="0"/>
    <s v="Wrong PO Number"/>
    <n v="780.16"/>
    <n v="780.16"/>
    <d v="2026-06-22T00:00:00"/>
    <s v="Sales Team"/>
    <s v="Under Sales Team validation"/>
    <s v="No"/>
    <s v="N/A"/>
    <s v="WP"/>
    <n v="100111"/>
    <s v="Andrew Ross"/>
    <n v="100111"/>
    <s v="Andrew Ross"/>
    <n v="4"/>
    <s v="Patrick Hayes"/>
    <s v="Andrew Ros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736"/>
    <s v="POON EX22788"/>
    <s v="SO91125122788"/>
    <s v="51125154798"/>
    <d v="2022-04-01T00:00:00"/>
    <s v="1355937"/>
    <x v="0"/>
    <s v="Wrong PO Number"/>
    <n v="900"/>
    <n v="900"/>
    <d v="2026-06-22T00:00:00"/>
    <s v="Sales Team"/>
    <s v="Under Sales Team validation"/>
    <s v="No"/>
    <s v="N/A"/>
    <s v="WP"/>
    <n v="100121"/>
    <s v="Olivia Jenkins"/>
    <n v="100121"/>
    <s v="Olivia Jenkins"/>
    <n v="4"/>
    <s v="Patrick Hayes"/>
    <s v="Olivia Jenkin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426"/>
    <s v="POON EX64017"/>
    <s v="SO91125164017"/>
    <s v="51125154817"/>
    <d v="2022-04-01T00:00:00"/>
    <s v="1355937"/>
    <x v="0"/>
    <s v="Wrong PO Number"/>
    <n v="900"/>
    <n v="900"/>
    <d v="2026-06-22T00:00:00"/>
    <s v="Sales Team"/>
    <s v="Under Sales Team validation"/>
    <s v="No"/>
    <s v="N/A"/>
    <s v="WP"/>
    <n v="100151"/>
    <s v="Mason Reynolds"/>
    <n v="100151"/>
    <s v="Mason Reynolds"/>
    <n v="4"/>
    <s v="Patrick Hayes"/>
    <s v="Mason Reynold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896"/>
    <s v="POON EX05246"/>
    <s v="SO91125105246"/>
    <s v="51125154716"/>
    <d v="2022-04-01T00:00:00"/>
    <s v="1355937"/>
    <x v="0"/>
    <s v="Wrong PO Number"/>
    <n v="630.16"/>
    <n v="630.16"/>
    <d v="2026-06-22T00:00:00"/>
    <s v="Sales Team"/>
    <s v="Under Sales Team validation"/>
    <s v="No"/>
    <s v="N/A"/>
    <s v="WP"/>
    <n v="100161"/>
    <s v="Connor Bishop"/>
    <n v="100161"/>
    <s v="Connor Bishop"/>
    <n v="4"/>
    <s v="Patrick Hayes"/>
    <s v="Connor Bishop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806"/>
    <s v="POON EX46475"/>
    <s v="SO91125146475"/>
    <s v="51125154625"/>
    <d v="2022-04-01T00:00:00"/>
    <s v="1355937"/>
    <x v="0"/>
    <s v="Wrong PO Number"/>
    <n v="630.16"/>
    <n v="630.16"/>
    <d v="2026-06-22T00:00:00"/>
    <s v="Sales Team"/>
    <s v="Under Sales Team validation"/>
    <s v="No"/>
    <s v="N/A"/>
    <s v="WP"/>
    <n v="100191"/>
    <s v="Dominic Flores"/>
    <n v="100191"/>
    <s v="Dominic Flores"/>
    <n v="4"/>
    <s v="Patrick Hayes"/>
    <s v="Dominic Flore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726"/>
    <s v="POEXPEN87704"/>
    <s v="SO91125187704"/>
    <s v="51125154654"/>
    <d v="2022-04-01T00:00:00"/>
    <s v="1355937"/>
    <x v="0"/>
    <s v="Wrong PO Number"/>
    <n v="630.16"/>
    <n v="630.16"/>
    <d v="2026-06-22T00:00:00"/>
    <s v="Sales Team"/>
    <s v="Under Sales Team validation"/>
    <s v="No"/>
    <s v="N/A"/>
    <s v="WP"/>
    <n v="100201"/>
    <s v="Aiden Harper"/>
    <n v="100201"/>
    <s v="Aiden Harper"/>
    <n v="4"/>
    <s v="Patrick Hayes"/>
    <s v="Aiden Harper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606"/>
    <s v="POON EX28933"/>
    <s v="SO91125128933"/>
    <s v="51125154663"/>
    <d v="2022-04-01T00:00:00"/>
    <s v="1355937"/>
    <x v="0"/>
    <s v="Wrong PO Number"/>
    <n v="630.16"/>
    <n v="630.16"/>
    <d v="2026-06-22T00:00:00"/>
    <s v="Sales Team"/>
    <s v="Under Sales Team validation"/>
    <s v="No"/>
    <s v="N/A"/>
    <s v="WP"/>
    <n v="100231"/>
    <s v="Jackson Norris"/>
    <n v="100231"/>
    <s v="Jackson Norris"/>
    <n v="4"/>
    <s v="Patrick Hayes"/>
    <s v="Jackson Norri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846"/>
    <s v="POON EX70162"/>
    <s v="SO91125170162"/>
    <s v="51125154692"/>
    <d v="2022-04-01T00:00:00"/>
    <s v="1355937"/>
    <x v="0"/>
    <s v="Wrong PO Number"/>
    <n v="630.16"/>
    <n v="630.16"/>
    <d v="2026-06-22T00:00:00"/>
    <s v="Sales Team"/>
    <s v="Under Sales Team validation"/>
    <s v="No"/>
    <s v="N/A"/>
    <s v="WP"/>
    <n v="100241"/>
    <s v="Leah Pearson"/>
    <n v="100241"/>
    <s v="Leah Pearson"/>
    <n v="4"/>
    <s v="Patrick Hayes"/>
    <s v="Leah Pearson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616"/>
    <s v="POON EX11391"/>
    <s v="SO91125111391"/>
    <s v="51125154721"/>
    <d v="2022-04-01T00:00:00"/>
    <s v="1355937"/>
    <x v="0"/>
    <s v="Wrong PO Number"/>
    <n v="630.16"/>
    <n v="630.16"/>
    <d v="2026-06-22T00:00:00"/>
    <s v="Sales Team"/>
    <s v="Under Sales Team validation"/>
    <s v="No"/>
    <s v="N/A"/>
    <s v="WP"/>
    <n v="100271"/>
    <s v="Brooke Palmer"/>
    <n v="100271"/>
    <s v="Brooke Palmer"/>
    <n v="4"/>
    <s v="Patrick Hayes"/>
    <s v="Brooke Palmer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626"/>
    <s v="POON EX52620"/>
    <s v="SO91125152620"/>
    <s v="51125154700"/>
    <d v="2022-04-01T00:00:00"/>
    <s v="1355937"/>
    <x v="0"/>
    <s v="Wrong PO Number"/>
    <n v="930.16"/>
    <n v="930.16"/>
    <d v="2026-06-22T00:00:00"/>
    <s v="Sales Team"/>
    <s v="Under Sales Team validation"/>
    <s v="No"/>
    <s v="N/A"/>
    <s v="WP"/>
    <n v="100281"/>
    <s v="Grace Whitaker"/>
    <n v="100281"/>
    <s v="Grace Whitaker"/>
    <n v="4"/>
    <s v="Patrick Hayes"/>
    <s v="Grace Whitaker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866"/>
    <s v="POON EX93849"/>
    <s v="SO91125193849"/>
    <s v="51125154739"/>
    <d v="2022-04-01T00:00:00"/>
    <s v="1355937"/>
    <x v="0"/>
    <s v="Wrong PO Number"/>
    <n v="630.16"/>
    <n v="630.16"/>
    <d v="2026-06-22T00:00:00"/>
    <s v="Sales Team"/>
    <s v="Under Sales Team validation"/>
    <s v="No"/>
    <s v="N/A"/>
    <s v="WP"/>
    <n v="100111"/>
    <s v="Andrew Ross"/>
    <n v="100111"/>
    <s v="Andrew Ross"/>
    <n v="4"/>
    <s v="Patrick Hayes"/>
    <s v="Andrew Ros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786"/>
    <s v="POON EX35078"/>
    <s v="SO91125135078"/>
    <s v="51125154788"/>
    <d v="2022-04-01T00:00:00"/>
    <s v="1355937"/>
    <x v="0"/>
    <s v="Wrong PO Number"/>
    <n v="1575.9"/>
    <n v="1575.9"/>
    <d v="2026-06-22T00:00:00"/>
    <s v="Sales Team"/>
    <s v="Under Sales Team validation"/>
    <s v="No"/>
    <s v="N/A"/>
    <s v="WP"/>
    <n v="100121"/>
    <s v="Olivia Jenkins"/>
    <n v="100121"/>
    <s v="Olivia Jenkins"/>
    <n v="4"/>
    <s v="Patrick Hayes"/>
    <s v="Olivia Jenkin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656"/>
    <s v="POON EX76307"/>
    <s v="SO91125176307"/>
    <s v="51125154747"/>
    <d v="2022-04-01T00:00:00"/>
    <s v="1355937"/>
    <x v="0"/>
    <s v="Wrong PO Number"/>
    <n v="630.16"/>
    <n v="630.16"/>
    <d v="2026-06-22T00:00:00"/>
    <s v="Sales Team"/>
    <s v="Under Sales Team validation"/>
    <s v="No"/>
    <s v="N/A"/>
    <s v="WP"/>
    <n v="100151"/>
    <s v="Mason Reynolds"/>
    <n v="100151"/>
    <s v="Mason Reynolds"/>
    <n v="4"/>
    <s v="Patrick Hayes"/>
    <s v="Mason Reynold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796"/>
    <s v="POON EX17536"/>
    <s v="SO91125117536"/>
    <s v="51125154686"/>
    <d v="2022-04-01T00:00:00"/>
    <s v="1355937"/>
    <x v="0"/>
    <s v="Wrong PO Number"/>
    <n v="630.16"/>
    <n v="630.16"/>
    <d v="2026-06-22T00:00:00"/>
    <s v="Sales Team"/>
    <s v="Under Sales Team validation"/>
    <s v="No"/>
    <s v="N/A"/>
    <s v="WP"/>
    <n v="100161"/>
    <s v="Connor Bishop"/>
    <n v="100161"/>
    <s v="Connor Bishop"/>
    <n v="4"/>
    <s v="Patrick Hayes"/>
    <s v="Connor Bishop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776"/>
    <s v="POON EX58765"/>
    <s v="SO91125158765"/>
    <s v="51125154635"/>
    <d v="2022-04-01T00:00:00"/>
    <s v="1355937"/>
    <x v="0"/>
    <s v="Wrong PO Number"/>
    <n v="600"/>
    <n v="600"/>
    <d v="2026-06-22T00:00:00"/>
    <s v="Sales Team"/>
    <s v="Under Sales Team validation"/>
    <s v="No"/>
    <s v="N/A"/>
    <s v="WP"/>
    <n v="100191"/>
    <s v="Dominic Flores"/>
    <n v="100191"/>
    <s v="Dominic Flores"/>
    <n v="4"/>
    <s v="Patrick Hayes"/>
    <s v="Dominic Flores"/>
    <s v="Description -  This Req has been handled by Sales Team and this is related to Wrong PO Number"/>
  </r>
  <r>
    <s v="A100"/>
    <s v="AFRA100"/>
    <s v="A100-141"/>
    <d v="2023-11-02T00:00:00"/>
    <d v="2023-12-13T00:00:00"/>
    <s v="180+"/>
    <s v="Africa"/>
    <n v="960"/>
    <n v="4062646"/>
    <s v="POON EX41223"/>
    <s v="SO91125241223"/>
    <s v="51125249813"/>
    <d v="2023-10-23T00:00:00"/>
    <s v="1355937"/>
    <x v="0"/>
    <s v="Discount"/>
    <n v="1476.07"/>
    <n v="1476.07"/>
    <d v="2026-06-22T00:00:00"/>
    <s v="Credit Team"/>
    <s v="Under Credit Team validation"/>
    <s v="No"/>
    <s v="N/A"/>
    <s v="DI"/>
    <n v="100181"/>
    <s v="Ella Bennett"/>
    <n v="100151"/>
    <s v="Mason Reynolds"/>
    <n v="4"/>
    <s v="Patrick Hayes"/>
    <s v="Mason Reynolds"/>
    <s v="Description -  This Req has been handled by Credit Team and this is related to Discount"/>
  </r>
  <r>
    <s v="A100"/>
    <s v="AFRA100"/>
    <s v="A100-141"/>
    <d v="2023-11-03T00:00:00"/>
    <d v="2023-12-13T00:00:00"/>
    <s v="180+"/>
    <s v="Africa"/>
    <n v="959"/>
    <n v="4068116"/>
    <s v="PO4418895635"/>
    <s v="SO91142195635"/>
    <s v="51142130555"/>
    <d v="2023-10-27T00:00:00"/>
    <s v="1355937"/>
    <x v="0"/>
    <s v="Unknown Deduction"/>
    <n v="250"/>
    <n v="250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3-11-22T00:00:00"/>
    <d v="2023-12-15T00:00:00"/>
    <s v="180+"/>
    <s v="Africa"/>
    <n v="940"/>
    <n v="4072056"/>
    <s v="PO4417249154"/>
    <s v="SO91127649154"/>
    <s v="51127664074"/>
    <d v="2023-11-20T00:00:00"/>
    <s v="1355937"/>
    <x v="0"/>
    <s v="Discount"/>
    <n v="2666.68"/>
    <n v="2666.68"/>
    <d v="2026-06-22T00:00:00"/>
    <s v="Credit Team"/>
    <s v="Under Credit Team validation"/>
    <s v="No"/>
    <s v="N/A"/>
    <s v="DI"/>
    <n v="100261"/>
    <s v="Taylor Jennings"/>
    <n v="100191"/>
    <s v="Dominic Flores"/>
    <n v="4"/>
    <s v="Patrick Hayes"/>
    <s v="Dominic Flores"/>
    <s v="Description -  This Req has been handled by Credit Team and this is related to Discount"/>
  </r>
  <r>
    <s v="A100"/>
    <s v="AFRA100"/>
    <s v="A100-141"/>
    <d v="2023-12-09T00:00:00"/>
    <d v="2023-12-13T00:00:00"/>
    <s v="180+"/>
    <s v="Africa"/>
    <n v="923"/>
    <n v="4090616"/>
    <s v="PO4419308818"/>
    <s v="SO91142708818"/>
    <s v="51142739298"/>
    <d v="2023-11-21T00:00:00"/>
    <s v="1355937"/>
    <x v="0"/>
    <s v="Discount"/>
    <n v="564.30999999999995"/>
    <n v="564.30999999999995"/>
    <d v="2026-06-22T00:00:00"/>
    <s v="Credit Team"/>
    <s v="Under Credit Team validation"/>
    <s v="No"/>
    <s v="N/A"/>
    <s v="DI"/>
    <n v="100101"/>
    <s v="James Mitchell"/>
    <n v="100111"/>
    <s v="Andrew Ross"/>
    <n v="4"/>
    <s v="Patrick Hayes"/>
    <s v="Andrew Ross"/>
    <s v="Description -  This Req has been handled by Credit Team and this is related to Discount"/>
  </r>
  <r>
    <s v="A100"/>
    <s v="AFRA100"/>
    <s v="A100-141"/>
    <d v="2023-12-14T00:00:00"/>
    <d v="2023-12-15T00:00:00"/>
    <s v="180+"/>
    <s v="Africa"/>
    <n v="918"/>
    <n v="4094056"/>
    <s v="PO4419532505"/>
    <s v="SO91142832505"/>
    <s v="51142801605"/>
    <d v="2023-12-12T00:00:00"/>
    <s v="1355937"/>
    <x v="0"/>
    <s v="Discount"/>
    <n v="760.21"/>
    <n v="760.21"/>
    <d v="2026-06-22T00:00:00"/>
    <s v="Credit Team"/>
    <s v="Under Credit Team validation"/>
    <s v="No"/>
    <s v="N/A"/>
    <s v="DI"/>
    <n v="100141"/>
    <s v="Liam Matthews"/>
    <n v="100121"/>
    <s v="Olivia Jenkins"/>
    <n v="4"/>
    <s v="Patrick Hayes"/>
    <s v="Olivia Jenkins"/>
    <s v="Description -  This Req has been handled by Credit Team and this is related to Discount"/>
  </r>
  <r>
    <s v="A100"/>
    <s v="AFRA100"/>
    <s v="A100-141"/>
    <d v="2024-01-06T00:00:00"/>
    <d v="2026-05-20T00:00:00"/>
    <s v="180+"/>
    <s v="Africa"/>
    <n v="895"/>
    <n v="4094086"/>
    <s v="PO4419414963"/>
    <s v="SO91142414963"/>
    <s v="51142436833"/>
    <d v="2024-01-03T00:00:00"/>
    <s v="1023247"/>
    <x v="1"/>
    <s v="RMA Number Needed"/>
    <n v="16313.22"/>
    <n v="16313.22"/>
    <d v="2026-06-15T00:00:00"/>
    <s v="Materials Team"/>
    <s v="Under Materials Team validation"/>
    <s v="Yes"/>
    <s v="Manager"/>
    <s v="RM"/>
    <n v="100251"/>
    <s v="Paige Sullivan"/>
    <n v="100161"/>
    <s v="Connor Bishop"/>
    <n v="11"/>
    <s v="Patrick Hayes"/>
    <s v="Connor Bishop"/>
    <s v="Description -  This Req has been handled by Materials Team and this is related to RMA Number Needed"/>
  </r>
  <r>
    <s v="A100"/>
    <s v="AFRA100"/>
    <s v="A100-141"/>
    <d v="2024-02-14T00:00:00"/>
    <d v="2026-05-20T00:00:00"/>
    <s v="180+"/>
    <s v="Africa"/>
    <n v="856"/>
    <n v="4131055"/>
    <s v="PO4416771161"/>
    <s v="SO91128271161"/>
    <s v="51128294191"/>
    <d v="2023-07-11T00:00:00"/>
    <s v="1023247"/>
    <x v="1"/>
    <s v="Resolve with Buyer"/>
    <n v="1621.76"/>
    <n v="1621.76"/>
    <d v="2026-06-15T00:00:00"/>
    <s v="Sales Team"/>
    <s v="Under Sales Team validation"/>
    <s v="Yes"/>
    <s v="Manager"/>
    <s v="RB"/>
    <n v="100201"/>
    <s v="Aiden Harper"/>
    <n v="100201"/>
    <s v="Aiden Harper"/>
    <n v="11"/>
    <s v="Patrick Hayes"/>
    <s v="Aiden Harper"/>
    <s v="Description -  This Req has been handled by Sales Team and this is related to Resolve with Buyer"/>
  </r>
  <r>
    <s v="A100"/>
    <s v="AFRA100"/>
    <s v="A100-141"/>
    <d v="2024-03-27T00:00:00"/>
    <d v="2025-06-02T00:00:00"/>
    <s v="180+"/>
    <s v="Africa"/>
    <n v="814"/>
    <n v="4137025"/>
    <s v="PO4419601886"/>
    <s v="SO91143101886"/>
    <s v="51143193376"/>
    <d v="2023-12-13T00:00:00"/>
    <s v="1355937"/>
    <x v="0"/>
    <s v="PO Closed"/>
    <n v="6807.5"/>
    <n v="6807.5"/>
    <d v="2026-06-22T00:00:00"/>
    <s v="Sales Team"/>
    <s v="Under Sales Team validation"/>
    <s v="No"/>
    <s v="N/A"/>
    <s v="PC"/>
    <n v="100231"/>
    <s v="Jackson Norris"/>
    <n v="100231"/>
    <s v="Jackson Norris"/>
    <n v="4"/>
    <s v="Patrick Hayes"/>
    <s v="Jackson Norris"/>
    <s v="Description -  This Req has been handled by Sales Team and this is related to PO Closed"/>
  </r>
  <r>
    <s v="A100"/>
    <s v="AFRA100"/>
    <s v="A100-141"/>
    <d v="2024-03-27T00:00:00"/>
    <d v="2025-06-02T00:00:00"/>
    <s v="180+"/>
    <s v="Africa"/>
    <n v="814"/>
    <n v="4137275"/>
    <s v="PO4416943115"/>
    <s v="SO91144143115"/>
    <s v="51144104705"/>
    <d v="2023-12-21T00:00:00"/>
    <s v="1355937"/>
    <x v="0"/>
    <s v="PO Closed"/>
    <n v="6965"/>
    <n v="6965"/>
    <d v="2026-06-22T00:00:00"/>
    <s v="Sales Team"/>
    <s v="Under Sales Team validation"/>
    <s v="No"/>
    <s v="N/A"/>
    <s v="PC"/>
    <n v="100241"/>
    <s v="Leah Pearson"/>
    <n v="100241"/>
    <s v="Leah Pearson"/>
    <n v="4"/>
    <s v="Patrick Hayes"/>
    <s v="Leah Pearson"/>
    <s v="Description -  This Req has been handled by Sales Team and this is related to PO Closed"/>
  </r>
  <r>
    <s v="A100"/>
    <s v="AFRA100"/>
    <s v="A100-141"/>
    <d v="2024-03-27T00:00:00"/>
    <d v="2025-06-02T00:00:00"/>
    <s v="180+"/>
    <s v="Africa"/>
    <n v="814"/>
    <n v="4135185"/>
    <s v="PO4498884344"/>
    <s v="SO91144984344"/>
    <s v="51144973494"/>
    <d v="2023-10-25T00:00:00"/>
    <s v="1355937"/>
    <x v="0"/>
    <s v="PO Closed"/>
    <n v="5986.25"/>
    <n v="5986.25"/>
    <d v="2026-06-22T00:00:00"/>
    <s v="Sales Team"/>
    <s v="Under Sales Team validation"/>
    <s v="No"/>
    <s v="N/A"/>
    <s v="PC"/>
    <n v="100271"/>
    <s v="Brooke Palmer"/>
    <n v="100271"/>
    <s v="Brooke Palmer"/>
    <n v="4"/>
    <s v="Patrick Hayes"/>
    <s v="Brooke Palmer"/>
    <s v="Description -  This Req has been handled by Sales Team and this is related to PO Closed"/>
  </r>
  <r>
    <s v="A100"/>
    <s v="AFRA100"/>
    <s v="A100-141"/>
    <d v="2024-03-27T00:00:00"/>
    <d v="2025-06-02T00:00:00"/>
    <s v="180+"/>
    <s v="Africa"/>
    <n v="814"/>
    <n v="4145755"/>
    <s v="PO4417225573"/>
    <s v="SO91125225573"/>
    <s v="51125219313"/>
    <d v="2023-10-25T00:00:00"/>
    <s v="1355937"/>
    <x v="0"/>
    <s v="PO Closed"/>
    <n v="5986.25"/>
    <n v="5986.25"/>
    <d v="2026-06-22T00:00:00"/>
    <s v="Sales Team"/>
    <s v="Under Sales Team validation"/>
    <s v="No"/>
    <s v="N/A"/>
    <s v="PC"/>
    <n v="100281"/>
    <s v="Grace Whitaker"/>
    <n v="100281"/>
    <s v="Grace Whitaker"/>
    <n v="4"/>
    <s v="Patrick Hayes"/>
    <s v="Grace Whitaker"/>
    <s v="Description -  This Req has been handled by Sales Team and this is related to PO Closed"/>
  </r>
  <r>
    <s v="A100"/>
    <s v="AFRA100"/>
    <s v="A100-141"/>
    <d v="2024-08-16T00:00:00"/>
    <d v="2025-06-12T00:00:00"/>
    <s v="180+"/>
    <s v="Africa"/>
    <n v="672"/>
    <n v="4228514"/>
    <s v="PO4420241541"/>
    <s v="SO91149541541"/>
    <s v="51149508921"/>
    <d v="2024-07-24T00:00:00"/>
    <s v="1355937"/>
    <x v="0"/>
    <s v="Wrong PO Number"/>
    <n v="8.2200000000000006"/>
    <n v="657.5"/>
    <d v="2026-06-22T00:00:00"/>
    <s v="Sales Team"/>
    <s v="Under Sales Team validation"/>
    <s v="No"/>
    <s v="N/A"/>
    <s v="WP"/>
    <n v="100111"/>
    <s v="Andrew Ross"/>
    <n v="100111"/>
    <s v="Andrew Ross"/>
    <n v="4"/>
    <s v="Patrick Hayes"/>
    <s v="Andrew Ross"/>
    <s v="Description -  This Req has been handled by Sales Team and this is related to Wrong PO Number"/>
  </r>
  <r>
    <s v="A100"/>
    <s v="AFRA100"/>
    <s v="A100-141"/>
    <d v="2024-08-16T00:00:00"/>
    <d v="2025-06-12T00:00:00"/>
    <s v="180+"/>
    <s v="Africa"/>
    <n v="672"/>
    <n v="4228134"/>
    <s v="PO4093182770"/>
    <s v="SO90116682770"/>
    <s v="50116679940"/>
    <d v="2024-07-24T00:00:00"/>
    <s v="1355937"/>
    <x v="0"/>
    <s v="Wrong PO Number"/>
    <n v="3.84"/>
    <n v="307.5"/>
    <d v="2026-06-22T00:00:00"/>
    <s v="Sales Team"/>
    <s v="Under Sales Team validation"/>
    <s v="No"/>
    <s v="N/A"/>
    <s v="WP"/>
    <n v="100121"/>
    <s v="Olivia Jenkins"/>
    <n v="100121"/>
    <s v="Olivia Jenkins"/>
    <n v="4"/>
    <s v="Patrick Hayes"/>
    <s v="Olivia Jenkins"/>
    <s v="Description -  This Req has been handled by Sales Team and this is related to Wrong PO Number"/>
  </r>
  <r>
    <s v="A100"/>
    <s v="AFRA100"/>
    <s v="A100-141"/>
    <d v="2024-08-16T00:00:00"/>
    <d v="2025-06-12T00:00:00"/>
    <s v="180+"/>
    <s v="Africa"/>
    <n v="672"/>
    <n v="4228314"/>
    <s v="PO4419323999"/>
    <s v="SO91149323999"/>
    <s v="51149380439"/>
    <d v="2024-07-21T00:00:00"/>
    <s v="1355937"/>
    <x v="0"/>
    <s v="PO Closed"/>
    <n v="465"/>
    <n v="465"/>
    <d v="2026-06-22T00:00:00"/>
    <s v="Sales Team"/>
    <s v="Under Sales Team validation"/>
    <s v="No"/>
    <s v="N/A"/>
    <s v="PC"/>
    <n v="100151"/>
    <s v="Mason Reynolds"/>
    <n v="100151"/>
    <s v="Mason Reynolds"/>
    <n v="4"/>
    <s v="Patrick Hayes"/>
    <s v="Mason Reynolds"/>
    <s v="Description -  This Req has been handled by Sales Team and this is related to PO Closed"/>
  </r>
  <r>
    <s v="A100"/>
    <s v="AFRA100"/>
    <s v="A100-141"/>
    <d v="2024-08-16T00:00:00"/>
    <d v="2025-06-12T00:00:00"/>
    <s v="180+"/>
    <s v="Africa"/>
    <n v="672"/>
    <n v="4229064"/>
    <s v="PO4419965228"/>
    <s v="SO91149265228"/>
    <s v="51149267228"/>
    <d v="2024-07-21T00:00:00"/>
    <s v="1355937"/>
    <x v="0"/>
    <s v="PO Closed"/>
    <n v="465"/>
    <n v="465"/>
    <d v="2026-06-22T00:00:00"/>
    <s v="Sales Team"/>
    <s v="Under Sales Team validation"/>
    <s v="No"/>
    <s v="N/A"/>
    <s v="PC"/>
    <n v="100161"/>
    <s v="Connor Bishop"/>
    <n v="100161"/>
    <s v="Connor Bishop"/>
    <n v="4"/>
    <s v="Patrick Hayes"/>
    <s v="Connor Bishop"/>
    <s v="Description -  This Req has been handled by Sales Team and this is related to PO Closed"/>
  </r>
  <r>
    <s v="A100"/>
    <s v="AFRA100"/>
    <s v="A100-141"/>
    <d v="2024-08-16T00:00:00"/>
    <d v="2025-06-12T00:00:00"/>
    <s v="180+"/>
    <s v="Africa"/>
    <n v="672"/>
    <n v="4228884"/>
    <s v="PO4417606457"/>
    <s v="SO91149106457"/>
    <s v="51149180207"/>
    <d v="2024-07-21T00:00:00"/>
    <s v="1355937"/>
    <x v="0"/>
    <s v="PO Closed"/>
    <n v="307.5"/>
    <n v="307.5"/>
    <d v="2026-06-22T00:00:00"/>
    <s v="Sales Team"/>
    <s v="Under Sales Team validation"/>
    <s v="No"/>
    <s v="N/A"/>
    <s v="PC"/>
    <n v="100191"/>
    <s v="Dominic Flores"/>
    <n v="100191"/>
    <s v="Dominic Flores"/>
    <n v="4"/>
    <s v="Patrick Hayes"/>
    <s v="Dominic Flores"/>
    <s v="Description -  This Req has been handled by Sales Team and this is related to PO Closed"/>
  </r>
  <r>
    <s v="A100"/>
    <s v="AFRA100"/>
    <s v="A100-141"/>
    <d v="2024-08-16T00:00:00"/>
    <d v="2025-06-12T00:00:00"/>
    <s v="180+"/>
    <s v="Africa"/>
    <n v="672"/>
    <n v="4228464"/>
    <s v="PO4420347686"/>
    <s v="SO91150147686"/>
    <s v="51150173656"/>
    <d v="2024-07-21T00:00:00"/>
    <s v="1355937"/>
    <x v="0"/>
    <s v="PO Closed"/>
    <n v="307.5"/>
    <n v="307.5"/>
    <d v="2026-06-22T00:00:00"/>
    <s v="Sales Team"/>
    <s v="Under Sales Team validation"/>
    <s v="No"/>
    <s v="N/A"/>
    <s v="PC"/>
    <n v="100201"/>
    <s v="Aiden Harper"/>
    <n v="100201"/>
    <s v="Aiden Harper"/>
    <n v="4"/>
    <s v="Patrick Hayes"/>
    <s v="Aiden Harper"/>
    <s v="Description -  This Req has been handled by Sales Team and this is related to PO Closed"/>
  </r>
  <r>
    <s v="A100"/>
    <s v="AFRA100"/>
    <s v="A100-141"/>
    <d v="2024-08-16T00:00:00"/>
    <d v="2025-06-12T00:00:00"/>
    <s v="180+"/>
    <s v="Africa"/>
    <n v="672"/>
    <n v="4228454"/>
    <s v="PO4420388915"/>
    <s v="SO91150188915"/>
    <s v="51150173635"/>
    <d v="2024-07-21T00:00:00"/>
    <s v="1355937"/>
    <x v="0"/>
    <s v="PO Closed"/>
    <n v="307.5"/>
    <n v="307.5"/>
    <d v="2026-06-22T00:00:00"/>
    <s v="Sales Team"/>
    <s v="Under Sales Team validation"/>
    <s v="No"/>
    <s v="N/A"/>
    <s v="PC"/>
    <n v="100231"/>
    <s v="Jackson Norris"/>
    <n v="100231"/>
    <s v="Jackson Norris"/>
    <n v="4"/>
    <s v="Patrick Hayes"/>
    <s v="Jackson Norris"/>
    <s v="Description -  This Req has been handled by Sales Team and this is related to PO Closed"/>
  </r>
  <r>
    <s v="A100"/>
    <s v="AFRA100"/>
    <s v="A100-141"/>
    <d v="2024-08-16T00:00:00"/>
    <d v="2025-06-12T00:00:00"/>
    <s v="180+"/>
    <s v="Africa"/>
    <n v="672"/>
    <n v="4228874"/>
    <s v="PO4419930144"/>
    <s v="SO91149130144"/>
    <s v="51149159914"/>
    <d v="2024-07-21T00:00:00"/>
    <s v="1355937"/>
    <x v="0"/>
    <s v="PO Closed"/>
    <n v="736.25"/>
    <n v="736.25"/>
    <d v="2026-06-22T00:00:00"/>
    <s v="Sales Team"/>
    <s v="Under Sales Team validation"/>
    <s v="No"/>
    <s v="N/A"/>
    <s v="PC"/>
    <n v="100241"/>
    <s v="Leah Pearson"/>
    <n v="100241"/>
    <s v="Leah Pearson"/>
    <n v="4"/>
    <s v="Patrick Hayes"/>
    <s v="Leah Pearson"/>
    <s v="Description -  This Req has been handled by Sales Team and this is related to PO Closed"/>
  </r>
  <r>
    <s v="A100"/>
    <s v="AFRA100"/>
    <s v="A100-141"/>
    <d v="2024-08-16T00:00:00"/>
    <d v="2025-06-13T00:00:00"/>
    <s v="180+"/>
    <s v="Africa"/>
    <n v="672"/>
    <n v="4228494"/>
    <s v="PO4420271373"/>
    <s v="SO91149571373"/>
    <s v="51149508943"/>
    <d v="2024-04-17T00:00:00"/>
    <s v="1355937"/>
    <x v="0"/>
    <s v="PO Closed"/>
    <n v="525"/>
    <n v="525"/>
    <d v="2026-06-22T00:00:00"/>
    <s v="Sales Team"/>
    <s v="Under Sales Team validation"/>
    <s v="No"/>
    <s v="N/A"/>
    <s v="PC"/>
    <n v="100271"/>
    <s v="Brooke Palmer"/>
    <n v="100271"/>
    <s v="Brooke Palmer"/>
    <n v="4"/>
    <s v="Patrick Hayes"/>
    <s v="Brooke Palmer"/>
    <s v="Description -  This Req has been handled by Sales Team and this is related to PO Closed"/>
  </r>
  <r>
    <s v="A100"/>
    <s v="AFRA100"/>
    <s v="A100-141"/>
    <d v="2024-08-16T00:00:00"/>
    <d v="2025-06-13T00:00:00"/>
    <s v="180+"/>
    <s v="Africa"/>
    <n v="672"/>
    <n v="4229024"/>
    <s v="PO4420312602"/>
    <s v="SO91150112602"/>
    <s v="51150166772"/>
    <d v="2024-03-27T00:00:00"/>
    <s v="1355937"/>
    <x v="0"/>
    <s v="PO Closed"/>
    <n v="300"/>
    <n v="300"/>
    <d v="2026-06-22T00:00:00"/>
    <s v="Sales Team"/>
    <s v="Under Sales Team validation"/>
    <s v="No"/>
    <s v="N/A"/>
    <s v="PC"/>
    <n v="100281"/>
    <s v="Grace Whitaker"/>
    <n v="100281"/>
    <s v="Grace Whitaker"/>
    <n v="4"/>
    <s v="Patrick Hayes"/>
    <s v="Grace Whitaker"/>
    <s v="Description -  This Req has been handled by Sales Team and this is related to PO Closed"/>
  </r>
  <r>
    <s v="A100"/>
    <s v="AFRA100"/>
    <s v="A100-141"/>
    <d v="2024-08-16T00:00:00"/>
    <d v="2025-06-13T00:00:00"/>
    <s v="180+"/>
    <s v="Africa"/>
    <n v="672"/>
    <n v="4228744"/>
    <s v="PO4419953831"/>
    <s v="SO91149153831"/>
    <s v="51149125951"/>
    <d v="2024-03-26T00:00:00"/>
    <s v="1355937"/>
    <x v="0"/>
    <s v="PO Closed"/>
    <n v="600"/>
    <n v="600"/>
    <d v="2026-06-22T00:00:00"/>
    <s v="Sales Team"/>
    <s v="Under Sales Team validation"/>
    <s v="No"/>
    <s v="N/A"/>
    <s v="PC"/>
    <n v="100111"/>
    <s v="Andrew Ross"/>
    <n v="100111"/>
    <s v="Andrew Ross"/>
    <n v="4"/>
    <s v="Patrick Hayes"/>
    <s v="Andrew Ross"/>
    <s v="Description -  This Req has been handled by Sales Team and this is related to PO Closed"/>
  </r>
  <r>
    <s v="A100"/>
    <s v="AFRA100"/>
    <s v="A100-141"/>
    <d v="2024-08-16T00:00:00"/>
    <d v="2025-06-13T00:00:00"/>
    <s v="180+"/>
    <s v="Africa"/>
    <n v="672"/>
    <n v="4229004"/>
    <s v="PO4417695060"/>
    <s v="SO91149195060"/>
    <s v="51149146660"/>
    <d v="2024-03-26T00:00:00"/>
    <s v="1355937"/>
    <x v="0"/>
    <s v="PO Closed"/>
    <n v="600"/>
    <n v="600"/>
    <d v="2026-06-22T00:00:00"/>
    <s v="Sales Team"/>
    <s v="Under Sales Team validation"/>
    <s v="No"/>
    <s v="N/A"/>
    <s v="PC"/>
    <n v="100121"/>
    <s v="Olivia Jenkins"/>
    <n v="100121"/>
    <s v="Olivia Jenkins"/>
    <n v="4"/>
    <s v="Patrick Hayes"/>
    <s v="Olivia Jenkins"/>
    <s v="Description -  This Req has been handled by Sales Team and this is related to PO Closed"/>
  </r>
  <r>
    <s v="A100"/>
    <s v="AFRA100"/>
    <s v="A100-141"/>
    <d v="2024-10-09T00:00:00"/>
    <d v="2025-06-13T00:00:00"/>
    <s v="180+"/>
    <s v="Africa"/>
    <n v="618"/>
    <n v="4251383"/>
    <s v="PO4095117067"/>
    <s v="SO90116817067"/>
    <s v="50116808227"/>
    <d v="2024-01-23T00:00:00"/>
    <s v="1355937"/>
    <x v="0"/>
    <s v="PO Closed"/>
    <n v="307.5"/>
    <n v="307.5"/>
    <d v="2026-06-22T00:00:00"/>
    <s v="Sales Team"/>
    <s v="Under Sales Team validation"/>
    <s v="No"/>
    <s v="N/A"/>
    <s v="PC"/>
    <n v="100151"/>
    <s v="Mason Reynolds"/>
    <n v="100151"/>
    <s v="Mason Reynolds"/>
    <n v="4"/>
    <s v="Patrick Hayes"/>
    <s v="Mason Reynolds"/>
    <s v="Description -  This Req has been handled by Sales Team and this is related to PO Closed"/>
  </r>
  <r>
    <s v="A100"/>
    <s v="AFRA100"/>
    <s v="A100-141"/>
    <d v="2024-10-09T00:00:00"/>
    <d v="2025-07-25T00:00:00"/>
    <s v="180+"/>
    <s v="Africa"/>
    <n v="618"/>
    <n v="4251353"/>
    <s v="PO4418758296"/>
    <s v="SO91151358296"/>
    <s v="51151361906"/>
    <d v="2024-01-23T00:00:00"/>
    <s v="1355937"/>
    <x v="0"/>
    <s v="PO Closed"/>
    <n v="1075"/>
    <n v="1075"/>
    <d v="2026-06-22T00:00:00"/>
    <s v="Sales Team"/>
    <s v="Under Sales Team validation"/>
    <s v="No"/>
    <s v="N/A"/>
    <s v="PC"/>
    <n v="100161"/>
    <s v="Connor Bishop"/>
    <n v="100161"/>
    <s v="Connor Bishop"/>
    <n v="4"/>
    <s v="Patrick Hayes"/>
    <s v="Connor Bishop"/>
    <s v="Description -  This Req has been handled by Sales Team and this is related to PO Closed"/>
  </r>
  <r>
    <s v="A100"/>
    <s v="AFRA100"/>
    <s v="A100-141"/>
    <d v="2024-10-09T00:00:00"/>
    <d v="2025-07-25T00:00:00"/>
    <s v="180+"/>
    <s v="Africa"/>
    <n v="618"/>
    <n v="4252463"/>
    <s v="PO8856499525"/>
    <s v="SO91153799525"/>
    <s v="51153713495"/>
    <d v="2024-01-25T00:00:00"/>
    <s v="1355937"/>
    <x v="0"/>
    <s v="PO Closed"/>
    <n v="307.5"/>
    <n v="307.5"/>
    <d v="2026-06-22T00:00:00"/>
    <s v="Sales Team"/>
    <s v="Under Sales Team validation"/>
    <s v="No"/>
    <s v="N/A"/>
    <s v="PC"/>
    <n v="100191"/>
    <s v="Dominic Flores"/>
    <n v="100191"/>
    <s v="Dominic Flores"/>
    <n v="4"/>
    <s v="Patrick Hayes"/>
    <s v="Dominic Flores"/>
    <s v="Description -  This Req has been handled by Sales Team and this is related to PO Closed"/>
  </r>
  <r>
    <s v="A100"/>
    <s v="AFRA100"/>
    <s v="A100-141"/>
    <d v="2024-10-10T00:00:00"/>
    <d v="2025-06-13T00:00:00"/>
    <s v="180+"/>
    <s v="Africa"/>
    <n v="617"/>
    <n v="4253233"/>
    <s v="PO4420423212"/>
    <s v="SO91151623212"/>
    <s v="51151628402"/>
    <d v="2024-01-11T00:00:00"/>
    <s v="1355937"/>
    <x v="0"/>
    <s v="Pricing Error"/>
    <n v="250"/>
    <n v="250"/>
    <d v="2026-06-22T00:00:00"/>
    <s v="Sales Team"/>
    <s v="Under Sales Team validation"/>
    <s v="No"/>
    <s v="N/A"/>
    <s v="PE"/>
    <n v="100201"/>
    <s v="Aiden Harper"/>
    <n v="100201"/>
    <s v="Aiden Harper"/>
    <n v="4"/>
    <s v="Patrick Hayes"/>
    <s v="Aiden Harper"/>
    <s v="Description -  This Req has been handled by Sales Team and this is related to Pricing Error"/>
  </r>
  <r>
    <s v="A100"/>
    <s v="AFRA100"/>
    <s v="A100-141"/>
    <d v="2024-10-11T00:00:00"/>
    <d v="2025-07-25T00:00:00"/>
    <s v="180+"/>
    <s v="Africa"/>
    <n v="616"/>
    <n v="4253253"/>
    <s v="PO4420229357"/>
    <s v="SO91152029357"/>
    <s v="51152009827"/>
    <d v="2024-01-26T00:00:00"/>
    <s v="1355937"/>
    <x v="0"/>
    <s v="PO Closed"/>
    <n v="300"/>
    <n v="300"/>
    <d v="2026-06-22T00:00:00"/>
    <s v="Sales Team"/>
    <s v="Under Sales Team validation"/>
    <s v="No"/>
    <s v="N/A"/>
    <s v="PC"/>
    <n v="100231"/>
    <s v="Jackson Norris"/>
    <n v="100231"/>
    <s v="Jackson Norris"/>
    <n v="4"/>
    <s v="Patrick Hayes"/>
    <s v="Jackson Norris"/>
    <s v="Description -  This Req has been handled by Sales Team and this is related to PO Closed"/>
  </r>
  <r>
    <s v="A100"/>
    <s v="AFRA100"/>
    <s v="A100-141"/>
    <d v="2024-10-11T00:00:00"/>
    <d v="2025-07-25T00:00:00"/>
    <s v="180+"/>
    <s v="Africa"/>
    <n v="616"/>
    <n v="4254583"/>
    <s v="POMR6H570586"/>
    <s v="SO91154070586"/>
    <s v="51154092826"/>
    <d v="2024-01-26T00:00:00"/>
    <s v="1355937"/>
    <x v="0"/>
    <s v="PO Closed"/>
    <n v="307.5"/>
    <n v="307.5"/>
    <d v="2026-06-22T00:00:00"/>
    <s v="Sales Team"/>
    <s v="Under Sales Team validation"/>
    <s v="No"/>
    <s v="N/A"/>
    <s v="PC"/>
    <n v="100241"/>
    <s v="Leah Pearson"/>
    <n v="100241"/>
    <s v="Leah Pearson"/>
    <n v="4"/>
    <s v="Patrick Hayes"/>
    <s v="Leah Pearson"/>
    <s v="Description -  This Req has been handled by Sales Team and this is related to PO Closed"/>
  </r>
  <r>
    <s v="A100"/>
    <s v="AFRA100"/>
    <s v="A100-141"/>
    <d v="2024-10-11T00:00:00"/>
    <d v="2025-07-25T00:00:00"/>
    <s v="180+"/>
    <s v="Africa"/>
    <n v="616"/>
    <n v="4254593"/>
    <s v="POMR6H511815"/>
    <s v="SO91154111815"/>
    <s v="51154176635"/>
    <d v="2024-01-26T00:00:00"/>
    <s v="1355937"/>
    <x v="0"/>
    <s v="PO Closed"/>
    <n v="850"/>
    <n v="850"/>
    <d v="2026-06-22T00:00:00"/>
    <s v="Sales Team"/>
    <s v="Under Sales Team validation"/>
    <s v="No"/>
    <s v="N/A"/>
    <s v="PC"/>
    <n v="100271"/>
    <s v="Brooke Palmer"/>
    <n v="100271"/>
    <s v="Brooke Palmer"/>
    <n v="4"/>
    <s v="Patrick Hayes"/>
    <s v="Brooke Palmer"/>
    <s v="Description -  This Req has been handled by Sales Team and this is related to PO Closed"/>
  </r>
  <r>
    <s v="A100"/>
    <s v="AFRA100"/>
    <s v="A100-141"/>
    <d v="2024-10-11T00:00:00"/>
    <d v="2025-07-25T00:00:00"/>
    <s v="180+"/>
    <s v="Africa"/>
    <n v="616"/>
    <n v="4253973"/>
    <s v="POC240453044"/>
    <s v="SO91151853044"/>
    <s v="51151856144"/>
    <d v="2024-01-27T00:00:00"/>
    <s v="1355937"/>
    <x v="0"/>
    <s v="PO Closed"/>
    <n v="300"/>
    <n v="300"/>
    <d v="2026-06-22T00:00:00"/>
    <s v="Sales Team"/>
    <s v="Under Sales Team validation"/>
    <s v="No"/>
    <s v="N/A"/>
    <s v="PC"/>
    <n v="100281"/>
    <s v="Grace Whitaker"/>
    <n v="100281"/>
    <s v="Grace Whitaker"/>
    <n v="4"/>
    <s v="Patrick Hayes"/>
    <s v="Grace Whitaker"/>
    <s v="Description -  This Req has been handled by Sales Team and this is related to PO Closed"/>
  </r>
  <r>
    <s v="A100"/>
    <s v="AFRA100"/>
    <s v="A100-141"/>
    <d v="2024-10-11T00:00:00"/>
    <d v="2025-07-25T00:00:00"/>
    <s v="180+"/>
    <s v="Africa"/>
    <n v="616"/>
    <n v="4252803"/>
    <s v="POC240494273"/>
    <s v="SO91151894273"/>
    <s v="51151829923"/>
    <d v="2024-01-27T00:00:00"/>
    <s v="1355937"/>
    <x v="0"/>
    <s v="PO Closed"/>
    <n v="700"/>
    <n v="700"/>
    <d v="2026-06-22T00:00:00"/>
    <s v="Sales Team"/>
    <s v="Under Sales Team validation"/>
    <s v="No"/>
    <s v="N/A"/>
    <s v="PC"/>
    <n v="100111"/>
    <s v="Andrew Ross"/>
    <n v="100111"/>
    <s v="Andrew Ross"/>
    <n v="4"/>
    <s v="Patrick Hayes"/>
    <s v="Andrew Ros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4153"/>
    <s v="POC240435502"/>
    <s v="SO91151435502"/>
    <s v="51151496852"/>
    <d v="2024-02-23T00:00:00"/>
    <s v="1355937"/>
    <x v="0"/>
    <s v="PO Closed"/>
    <n v="525"/>
    <n v="525"/>
    <d v="2026-06-22T00:00:00"/>
    <s v="Sales Team"/>
    <s v="Under Sales Team validation"/>
    <s v="No"/>
    <s v="N/A"/>
    <s v="PC"/>
    <n v="100121"/>
    <s v="Olivia Jenkins"/>
    <n v="100121"/>
    <s v="Olivia Jenkins"/>
    <n v="4"/>
    <s v="Patrick Hayes"/>
    <s v="Olivia Jenkin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3953"/>
    <s v="POC240476731"/>
    <s v="SO91152176731"/>
    <s v="51152140151"/>
    <d v="2024-02-25T00:00:00"/>
    <s v="1355937"/>
    <x v="0"/>
    <s v="PO Closed"/>
    <n v="525"/>
    <n v="525"/>
    <d v="2026-06-22T00:00:00"/>
    <s v="Sales Team"/>
    <s v="Under Sales Team validation"/>
    <s v="No"/>
    <s v="N/A"/>
    <s v="PC"/>
    <n v="100151"/>
    <s v="Mason Reynolds"/>
    <n v="100151"/>
    <s v="Mason Reynolds"/>
    <n v="4"/>
    <s v="Patrick Hayes"/>
    <s v="Mason Reynold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2153"/>
    <s v="PO4500117960"/>
    <s v="SO91153717960"/>
    <s v="51153789620"/>
    <d v="2024-02-25T00:00:00"/>
    <s v="1355937"/>
    <x v="0"/>
    <s v="PO Closed"/>
    <n v="300"/>
    <n v="300"/>
    <d v="2026-06-22T00:00:00"/>
    <s v="Sales Team"/>
    <s v="Under Sales Team validation"/>
    <s v="No"/>
    <s v="N/A"/>
    <s v="PC"/>
    <n v="100161"/>
    <s v="Connor Bishop"/>
    <n v="100161"/>
    <s v="Connor Bishop"/>
    <n v="4"/>
    <s v="Patrick Hayes"/>
    <s v="Connor Bishop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3813"/>
    <s v="POPO89159189"/>
    <s v="SO91152059189"/>
    <s v="51152047559"/>
    <d v="2024-02-25T00:00:00"/>
    <s v="1355937"/>
    <x v="0"/>
    <s v="PO Closed"/>
    <n v="300"/>
    <n v="300"/>
    <d v="2026-06-22T00:00:00"/>
    <s v="Sales Team"/>
    <s v="Under Sales Team validation"/>
    <s v="No"/>
    <s v="N/A"/>
    <s v="PC"/>
    <n v="100191"/>
    <s v="Dominic Flores"/>
    <n v="100191"/>
    <s v="Dominic Flores"/>
    <n v="4"/>
    <s v="Patrick Hayes"/>
    <s v="Dominic Flore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3793"/>
    <s v="POPO89900418"/>
    <s v="SO91151600418"/>
    <s v="51151696418"/>
    <d v="2024-02-25T00:00:00"/>
    <s v="1355937"/>
    <x v="0"/>
    <s v="PO Closed"/>
    <n v="300"/>
    <n v="300"/>
    <d v="2026-06-22T00:00:00"/>
    <s v="Sales Team"/>
    <s v="Under Sales Team validation"/>
    <s v="No"/>
    <s v="N/A"/>
    <s v="PC"/>
    <n v="100201"/>
    <s v="Aiden Harper"/>
    <n v="100201"/>
    <s v="Aiden Harper"/>
    <n v="4"/>
    <s v="Patrick Hayes"/>
    <s v="Aiden Harper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5603"/>
    <s v="PO4592741647"/>
    <s v="SO91150841647"/>
    <s v="51150884537"/>
    <d v="2024-02-25T00:00:00"/>
    <s v="1355937"/>
    <x v="0"/>
    <s v="PO Closed"/>
    <n v="300"/>
    <n v="300"/>
    <d v="2026-06-22T00:00:00"/>
    <s v="Sales Team"/>
    <s v="Under Sales Team validation"/>
    <s v="No"/>
    <s v="N/A"/>
    <s v="PC"/>
    <n v="100231"/>
    <s v="Jackson Norris"/>
    <n v="100231"/>
    <s v="Jackson Norris"/>
    <n v="4"/>
    <s v="Patrick Hayes"/>
    <s v="Jackson Norri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3803"/>
    <s v="POPO89182876"/>
    <s v="SO91152182876"/>
    <s v="51152115816"/>
    <d v="2024-03-21T00:00:00"/>
    <s v="1355937"/>
    <x v="0"/>
    <s v="PO Closed"/>
    <n v="307.5"/>
    <n v="307.5"/>
    <d v="2026-06-22T00:00:00"/>
    <s v="Sales Team"/>
    <s v="Under Sales Team validation"/>
    <s v="No"/>
    <s v="N/A"/>
    <s v="PC"/>
    <n v="100241"/>
    <s v="Leah Pearson"/>
    <n v="100241"/>
    <s v="Leah Pearson"/>
    <n v="4"/>
    <s v="Patrick Hayes"/>
    <s v="Leah Pearson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5523"/>
    <s v="POPO90124105"/>
    <s v="SO91152124105"/>
    <s v="51152199635"/>
    <d v="2024-03-25T00:00:00"/>
    <s v="1355937"/>
    <x v="0"/>
    <s v="PO Closed"/>
    <n v="600"/>
    <n v="600"/>
    <d v="2026-06-22T00:00:00"/>
    <s v="Sales Team"/>
    <s v="Under Sales Team validation"/>
    <s v="No"/>
    <s v="N/A"/>
    <s v="PC"/>
    <n v="100271"/>
    <s v="Brooke Palmer"/>
    <n v="100271"/>
    <s v="Brooke Palmer"/>
    <n v="4"/>
    <s v="Patrick Hayes"/>
    <s v="Brooke Palmer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3773"/>
    <s v="POPO89465334"/>
    <s v="SO91151365334"/>
    <s v="51151382454"/>
    <d v="2024-03-25T00:00:00"/>
    <s v="1355937"/>
    <x v="0"/>
    <s v="PO Closed"/>
    <n v="450"/>
    <n v="450"/>
    <d v="2026-06-22T00:00:00"/>
    <s v="Sales Team"/>
    <s v="Under Sales Team validation"/>
    <s v="No"/>
    <s v="N/A"/>
    <s v="PC"/>
    <n v="100281"/>
    <s v="Grace Whitaker"/>
    <n v="100281"/>
    <s v="Grace Whitaker"/>
    <n v="4"/>
    <s v="Patrick Hayes"/>
    <s v="Grace Whitaker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3783"/>
    <s v="POPO89406563"/>
    <s v="SO91151306563"/>
    <s v="51151382463"/>
    <d v="2024-03-25T00:00:00"/>
    <s v="1355937"/>
    <x v="0"/>
    <s v="PO Closed"/>
    <n v="300"/>
    <n v="300"/>
    <d v="2026-06-22T00:00:00"/>
    <s v="Sales Team"/>
    <s v="Under Sales Team validation"/>
    <s v="No"/>
    <s v="N/A"/>
    <s v="PC"/>
    <n v="100111"/>
    <s v="Andrew Ross"/>
    <n v="100111"/>
    <s v="Andrew Ross"/>
    <n v="4"/>
    <s v="Patrick Hayes"/>
    <s v="Andrew Ros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8053"/>
    <s v="PO4000047792"/>
    <s v="SO91154647792"/>
    <s v="51154625902"/>
    <d v="2024-03-25T00:00:00"/>
    <s v="1355937"/>
    <x v="0"/>
    <s v="PO Closed"/>
    <n v="525"/>
    <n v="525"/>
    <d v="2026-06-22T00:00:00"/>
    <s v="Sales Team"/>
    <s v="Under Sales Team validation"/>
    <s v="No"/>
    <s v="N/A"/>
    <s v="PC"/>
    <n v="100121"/>
    <s v="Olivia Jenkins"/>
    <n v="100121"/>
    <s v="Olivia Jenkins"/>
    <n v="4"/>
    <s v="Patrick Hayes"/>
    <s v="Olivia Jenkin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8063"/>
    <s v="PO4000089021"/>
    <s v="SO91155289021"/>
    <s v="51155297051"/>
    <d v="2024-03-25T00:00:00"/>
    <s v="1355937"/>
    <x v="0"/>
    <s v="PO Closed"/>
    <n v="300"/>
    <n v="300"/>
    <d v="2026-06-22T00:00:00"/>
    <s v="Sales Team"/>
    <s v="Under Sales Team validation"/>
    <s v="No"/>
    <s v="N/A"/>
    <s v="PC"/>
    <n v="100151"/>
    <s v="Mason Reynolds"/>
    <n v="100151"/>
    <s v="Mason Reynolds"/>
    <n v="4"/>
    <s v="Patrick Hayes"/>
    <s v="Mason Reynold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9343"/>
    <s v="PO4400830250"/>
    <s v="SO91155230250"/>
    <s v="51155292490"/>
    <d v="2024-03-25T00:00:00"/>
    <s v="1355937"/>
    <x v="0"/>
    <s v="PO Closed"/>
    <n v="300"/>
    <n v="300"/>
    <d v="2026-06-22T00:00:00"/>
    <s v="Sales Team"/>
    <s v="Under Sales Team validation"/>
    <s v="No"/>
    <s v="N/A"/>
    <s v="PC"/>
    <n v="100161"/>
    <s v="Connor Bishop"/>
    <n v="100161"/>
    <s v="Connor Bishop"/>
    <n v="4"/>
    <s v="Patrick Hayes"/>
    <s v="Connor Bishop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9373"/>
    <s v="PO4516871479"/>
    <s v="SO91154471479"/>
    <s v="51154468619"/>
    <d v="2024-03-25T00:00:00"/>
    <s v="1355937"/>
    <x v="0"/>
    <s v="PO Closed"/>
    <n v="600"/>
    <n v="600"/>
    <d v="2026-06-22T00:00:00"/>
    <s v="Sales Team"/>
    <s v="Under Sales Team validation"/>
    <s v="No"/>
    <s v="N/A"/>
    <s v="PC"/>
    <n v="100191"/>
    <s v="Dominic Flores"/>
    <n v="100191"/>
    <s v="Dominic Flores"/>
    <n v="4"/>
    <s v="Patrick Hayes"/>
    <s v="Dominic Flore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9593"/>
    <s v="PO4680012708"/>
    <s v="SO91153912708"/>
    <s v="51153929948"/>
    <d v="2024-03-25T00:00:00"/>
    <s v="1355937"/>
    <x v="0"/>
    <s v="PO Closed"/>
    <n v="300"/>
    <n v="300"/>
    <d v="2026-06-22T00:00:00"/>
    <s v="Sales Team"/>
    <s v="Under Sales Team validation"/>
    <s v="No"/>
    <s v="N/A"/>
    <s v="PC"/>
    <n v="100201"/>
    <s v="Aiden Harper"/>
    <n v="100201"/>
    <s v="Aiden Harper"/>
    <n v="4"/>
    <s v="Patrick Hayes"/>
    <s v="Aiden Harper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60073"/>
    <s v="PO5500053937"/>
    <s v="SO91155153937"/>
    <s v="51155141397"/>
    <d v="2024-03-25T00:00:00"/>
    <s v="1355937"/>
    <x v="0"/>
    <s v="PO Closed"/>
    <n v="900"/>
    <n v="900"/>
    <d v="2026-06-22T00:00:00"/>
    <s v="Sales Team"/>
    <s v="Under Sales Team validation"/>
    <s v="No"/>
    <s v="N/A"/>
    <s v="PC"/>
    <n v="100231"/>
    <s v="Jackson Norris"/>
    <n v="100231"/>
    <s v="Jackson Norris"/>
    <n v="4"/>
    <s v="Patrick Hayes"/>
    <s v="Jackson Norri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9603"/>
    <s v="PO4680095166"/>
    <s v="SO91154995166"/>
    <s v="51154916406"/>
    <d v="2024-03-25T00:00:00"/>
    <s v="1355937"/>
    <x v="0"/>
    <s v="PO Closed"/>
    <n v="300"/>
    <n v="300"/>
    <d v="2026-06-22T00:00:00"/>
    <s v="Sales Team"/>
    <s v="Under Sales Team validation"/>
    <s v="No"/>
    <s v="N/A"/>
    <s v="PC"/>
    <n v="100241"/>
    <s v="Leah Pearson"/>
    <n v="100241"/>
    <s v="Leah Pearson"/>
    <n v="4"/>
    <s v="Patrick Hayes"/>
    <s v="Leah Pearson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60083"/>
    <s v="PO5500036395"/>
    <s v="SO91154336395"/>
    <s v="51154323645"/>
    <d v="2024-03-25T00:00:00"/>
    <s v="1355937"/>
    <x v="0"/>
    <s v="PO Closed"/>
    <n v="300"/>
    <n v="300"/>
    <d v="2026-06-22T00:00:00"/>
    <s v="Sales Team"/>
    <s v="Under Sales Team validation"/>
    <s v="No"/>
    <s v="N/A"/>
    <s v="PC"/>
    <n v="100271"/>
    <s v="Brooke Palmer"/>
    <n v="100271"/>
    <s v="Brooke Palmer"/>
    <n v="4"/>
    <s v="Patrick Hayes"/>
    <s v="Brooke Palmer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1153"/>
    <s v="PO2100377624"/>
    <s v="SO91154877624"/>
    <s v="51154848054"/>
    <d v="2024-08-16T00:00:00"/>
    <s v="1355937"/>
    <x v="0"/>
    <s v="PO Closed"/>
    <n v="307.5"/>
    <n v="307.5"/>
    <d v="2026-06-22T00:00:00"/>
    <s v="Sales Team"/>
    <s v="Under Sales Team validation"/>
    <s v="No"/>
    <s v="N/A"/>
    <s v="PC"/>
    <n v="100281"/>
    <s v="Grace Whitaker"/>
    <n v="100281"/>
    <s v="Grace Whitaker"/>
    <n v="4"/>
    <s v="Patrick Hayes"/>
    <s v="Grace Whitaker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1423"/>
    <s v="PO2100318853"/>
    <s v="SO91154318853"/>
    <s v="51154362903"/>
    <d v="2024-08-16T00:00:00"/>
    <s v="1355937"/>
    <x v="0"/>
    <s v="PO Closed"/>
    <n v="307.5"/>
    <n v="307.5"/>
    <d v="2026-06-22T00:00:00"/>
    <s v="Sales Team"/>
    <s v="Under Sales Team validation"/>
    <s v="No"/>
    <s v="N/A"/>
    <s v="PC"/>
    <n v="100111"/>
    <s v="Andrew Ross"/>
    <n v="100111"/>
    <s v="Andrew Ross"/>
    <n v="4"/>
    <s v="Patrick Hayes"/>
    <s v="Andrew Ross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0163"/>
    <s v="PO2100360082"/>
    <s v="SO91155160082"/>
    <s v="51155185342"/>
    <d v="2024-08-16T00:00:00"/>
    <s v="1355937"/>
    <x v="0"/>
    <s v="PO Closed"/>
    <n v="307.5"/>
    <n v="307.5"/>
    <d v="2026-06-22T00:00:00"/>
    <s v="Sales Team"/>
    <s v="Under Sales Team validation"/>
    <s v="No"/>
    <s v="N/A"/>
    <s v="PC"/>
    <n v="100121"/>
    <s v="Olivia Jenkins"/>
    <n v="100121"/>
    <s v="Olivia Jenkins"/>
    <n v="4"/>
    <s v="Patrick Hayes"/>
    <s v="Olivia Jenkins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1203"/>
    <s v="PO2100301311"/>
    <s v="SO91155101311"/>
    <s v="51155169291"/>
    <d v="2024-08-16T00:00:00"/>
    <s v="1355937"/>
    <x v="0"/>
    <s v="PO Closed"/>
    <n v="307.5"/>
    <n v="307.5"/>
    <d v="2026-06-22T00:00:00"/>
    <s v="Sales Team"/>
    <s v="Under Sales Team validation"/>
    <s v="No"/>
    <s v="N/A"/>
    <s v="PC"/>
    <n v="100151"/>
    <s v="Mason Reynolds"/>
    <n v="100151"/>
    <s v="Mason Reynolds"/>
    <n v="4"/>
    <s v="Patrick Hayes"/>
    <s v="Mason Reynolds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1143"/>
    <s v="PO2100342540"/>
    <s v="SO91155942540"/>
    <s v="51155989200"/>
    <d v="2024-08-16T00:00:00"/>
    <s v="1355937"/>
    <x v="0"/>
    <s v="PO Closed"/>
    <n v="307.5"/>
    <n v="307.5"/>
    <d v="2026-06-22T00:00:00"/>
    <s v="Sales Team"/>
    <s v="Under Sales Team validation"/>
    <s v="No"/>
    <s v="N/A"/>
    <s v="PC"/>
    <n v="100161"/>
    <s v="Connor Bishop"/>
    <n v="100161"/>
    <s v="Connor Bishop"/>
    <n v="4"/>
    <s v="Patrick Hayes"/>
    <s v="Connor Bishop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1623"/>
    <s v="POQLJ0083769"/>
    <s v="SO90116983769"/>
    <s v="50116955239"/>
    <d v="2024-08-16T00:00:00"/>
    <s v="1355937"/>
    <x v="0"/>
    <s v="PO Closed"/>
    <n v="307.5"/>
    <n v="307.5"/>
    <d v="2026-06-22T00:00:00"/>
    <s v="Sales Team"/>
    <s v="Under Sales Team validation"/>
    <s v="No"/>
    <s v="N/A"/>
    <s v="PC"/>
    <n v="100191"/>
    <s v="Dominic Flores"/>
    <n v="100191"/>
    <s v="Dominic Flores"/>
    <n v="4"/>
    <s v="Patrick Hayes"/>
    <s v="Dominic Flores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2893"/>
    <s v="PO39P0224998"/>
    <s v="SO91154624998"/>
    <s v="51154669958"/>
    <d v="2024-08-17T00:00:00"/>
    <s v="1355937"/>
    <x v="0"/>
    <s v="PO Closed"/>
    <n v="307.5"/>
    <n v="307.5"/>
    <d v="2026-06-22T00:00:00"/>
    <s v="Sales Team"/>
    <s v="Under Sales Team validation"/>
    <s v="No"/>
    <s v="N/A"/>
    <s v="PC"/>
    <n v="100201"/>
    <s v="Aiden Harper"/>
    <n v="100201"/>
    <s v="Aiden Harper"/>
    <n v="4"/>
    <s v="Patrick Hayes"/>
    <s v="Aiden Harper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4353"/>
    <s v="PO4420566227"/>
    <s v="SO91152266227"/>
    <s v="51152281297"/>
    <d v="2024-08-17T00:00:00"/>
    <s v="1355937"/>
    <x v="0"/>
    <s v="PO Closed"/>
    <n v="307.5"/>
    <n v="307.5"/>
    <d v="2026-06-22T00:00:00"/>
    <s v="Sales Team"/>
    <s v="Under Sales Team validation"/>
    <s v="No"/>
    <s v="N/A"/>
    <s v="PC"/>
    <n v="100231"/>
    <s v="Jackson Norris"/>
    <n v="100231"/>
    <s v="Jackson Norris"/>
    <n v="4"/>
    <s v="Patrick Hayes"/>
    <s v="Jackson Norris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4333"/>
    <s v="PO4420507456"/>
    <s v="SO91152207456"/>
    <s v="51152281276"/>
    <d v="2024-08-17T00:00:00"/>
    <s v="1355937"/>
    <x v="0"/>
    <s v="PO Closed"/>
    <n v="307.5"/>
    <n v="307.5"/>
    <d v="2026-06-22T00:00:00"/>
    <s v="Sales Team"/>
    <s v="Under Sales Team validation"/>
    <s v="No"/>
    <s v="N/A"/>
    <s v="PC"/>
    <n v="100241"/>
    <s v="Leah Pearson"/>
    <n v="100241"/>
    <s v="Leah Pearson"/>
    <n v="4"/>
    <s v="Patrick Hayes"/>
    <s v="Leah Pearson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4393"/>
    <s v="PO4420548685"/>
    <s v="SO91152248685"/>
    <s v="51152281185"/>
    <d v="2024-08-17T00:00:00"/>
    <s v="1355937"/>
    <x v="0"/>
    <s v="PO Closed"/>
    <n v="307.5"/>
    <n v="307.5"/>
    <d v="2026-06-22T00:00:00"/>
    <s v="Sales Team"/>
    <s v="Under Sales Team validation"/>
    <s v="No"/>
    <s v="N/A"/>
    <s v="PC"/>
    <n v="100271"/>
    <s v="Brooke Palmer"/>
    <n v="100271"/>
    <s v="Brooke Palmer"/>
    <n v="4"/>
    <s v="Patrick Hayes"/>
    <s v="Brooke Palmer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4383"/>
    <s v="PO4420589914"/>
    <s v="SO91152289914"/>
    <s v="51152281034"/>
    <d v="2024-08-17T00:00:00"/>
    <s v="1355937"/>
    <x v="0"/>
    <s v="PO Closed"/>
    <n v="307.5"/>
    <n v="307.5"/>
    <d v="2026-06-22T00:00:00"/>
    <s v="Sales Team"/>
    <s v="Under Sales Team validation"/>
    <s v="No"/>
    <s v="N/A"/>
    <s v="PC"/>
    <n v="100281"/>
    <s v="Grace Whitaker"/>
    <n v="100281"/>
    <s v="Grace Whitaker"/>
    <n v="4"/>
    <s v="Patrick Hayes"/>
    <s v="Grace Whitaker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4483"/>
    <s v="PO4420631143"/>
    <s v="SO91152931143"/>
    <s v="51152904103"/>
    <d v="2024-08-22T00:00:00"/>
    <s v="1355937"/>
    <x v="0"/>
    <s v="PO Closed"/>
    <n v="386.25"/>
    <n v="386.25"/>
    <d v="2026-06-22T00:00:00"/>
    <s v="Sales Team"/>
    <s v="Under Sales Team validation"/>
    <s v="No"/>
    <s v="N/A"/>
    <s v="PC"/>
    <n v="100111"/>
    <s v="Andrew Ross"/>
    <n v="100111"/>
    <s v="Andrew Ross"/>
    <n v="4"/>
    <s v="Patrick Hayes"/>
    <s v="Andrew Ross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4403"/>
    <s v="PO4420572372"/>
    <s v="SO91152272372"/>
    <s v="51152281312"/>
    <d v="2024-08-22T00:00:00"/>
    <s v="1355937"/>
    <x v="0"/>
    <s v="PO Closed"/>
    <n v="307.5"/>
    <n v="307.5"/>
    <d v="2026-06-22T00:00:00"/>
    <s v="Sales Team"/>
    <s v="Under Sales Team validation"/>
    <s v="No"/>
    <s v="N/A"/>
    <s v="PC"/>
    <n v="100121"/>
    <s v="Olivia Jenkins"/>
    <n v="100121"/>
    <s v="Olivia Jenkins"/>
    <n v="4"/>
    <s v="Patrick Hayes"/>
    <s v="Olivia Jenkins"/>
    <s v="Description -  This Req has been handled by Sales Team and this is related to PO Closed"/>
  </r>
  <r>
    <s v="A100"/>
    <s v="AFRA100"/>
    <s v="A100-141"/>
    <d v="2024-12-19T00:00:00"/>
    <d v="2025-06-12T00:00:00"/>
    <s v="180+"/>
    <s v="Africa"/>
    <n v="547"/>
    <n v="4275142"/>
    <s v="POP204006669"/>
    <s v="SO91155306669"/>
    <s v="51155334099"/>
    <d v="2024-11-12T00:00:00"/>
    <s v="1355937"/>
    <x v="0"/>
    <s v="Unknown Deduction"/>
    <n v="104.95"/>
    <n v="104.95"/>
    <d v="2026-06-22T00:00:00"/>
    <s v="Credit Team"/>
    <s v="Under Credit Team validation"/>
    <s v="No"/>
    <s v="N/A"/>
    <s v="UN"/>
    <n v="100181"/>
    <s v="Ella Bennett"/>
    <n v="100151"/>
    <s v="Mason Reynolds"/>
    <n v="4"/>
    <s v="Patrick Hayes"/>
    <s v="Mason Reynolds"/>
    <s v="Description -  This Req has been handled by Credit Team and this is related to Unknown Deduction"/>
  </r>
  <r>
    <s v="A100"/>
    <s v="AFRA100"/>
    <s v="A100-141"/>
    <d v="2025-01-30T00:00:00"/>
    <d v="2026-05-20T00:00:00"/>
    <s v="180+"/>
    <s v="Africa"/>
    <n v="505"/>
    <n v="4303812"/>
    <s v="POPO89412920"/>
    <s v="SO91153612920"/>
    <s v="51153605030"/>
    <d v="2025-01-29T00:00:00"/>
    <s v="1023247"/>
    <x v="1"/>
    <s v="RMA Number Needed"/>
    <n v="1528.47"/>
    <n v="1528.47"/>
    <d v="2026-06-15T00:00:00"/>
    <s v="Materials Team"/>
    <s v="Under Materials Team validation"/>
    <s v="Yes"/>
    <s v="Manager"/>
    <s v="RM"/>
    <n v="100131"/>
    <s v="Emily Coleman"/>
    <n v="100111"/>
    <s v="Andrew Ross"/>
    <n v="11"/>
    <s v="Patrick Hayes"/>
    <s v="Andrew Ross"/>
    <s v="Description -  This Req has been handled by Materials Team and this is related to RMA Number Needed"/>
  </r>
  <r>
    <s v="A100"/>
    <s v="AFRA100"/>
    <s v="A100-141"/>
    <d v="2025-02-13T00:00:00"/>
    <d v="2026-04-10T00:00:00"/>
    <s v="180+"/>
    <s v="Africa"/>
    <n v="491"/>
    <n v="4308382"/>
    <s v="PO4420997164"/>
    <s v="SO91155597164"/>
    <s v="51155577214"/>
    <d v="2023-12-04T00:00:00"/>
    <s v="1023247"/>
    <x v="1"/>
    <s v="Resolve with Buyer"/>
    <n v="5229.75"/>
    <n v="5229.75"/>
    <d v="2026-06-15T00:00:00"/>
    <s v="Sales Team"/>
    <s v="Under Sales Team validation"/>
    <s v="Yes"/>
    <s v="Manager"/>
    <s v="RB"/>
    <n v="100151"/>
    <s v="Mason Reynolds"/>
    <n v="100151"/>
    <s v="Mason Reynolds"/>
    <n v="11"/>
    <s v="Patrick Hayes"/>
    <s v="Mason Reynolds"/>
    <s v="Description -  This Req has been handled by Sales Team and this is related to Resolve with Buyer"/>
  </r>
  <r>
    <s v="A100"/>
    <s v="AFRA100"/>
    <s v="A100-141"/>
    <d v="2025-03-03T00:00:00"/>
    <d v="2026-05-20T00:00:00"/>
    <s v="180+"/>
    <s v="Africa"/>
    <n v="473"/>
    <n v="4314212"/>
    <s v="PO4420581408"/>
    <s v="SO91155881408"/>
    <s v="51155833558"/>
    <d v="2025-01-24T00:00:00"/>
    <s v="1023247"/>
    <x v="1"/>
    <s v="Pricing Error"/>
    <n v="15757.04"/>
    <n v="87747.92"/>
    <d v="2026-06-15T00:00:00"/>
    <s v="Sales Team"/>
    <s v="Under Sales Team validation"/>
    <s v="Yes"/>
    <s v="Manager"/>
    <s v="PE"/>
    <n v="100161"/>
    <s v="Connor Bishop"/>
    <n v="100161"/>
    <s v="Connor Bishop"/>
    <n v="11"/>
    <s v="Patrick Hayes"/>
    <s v="Connor Bishop"/>
    <s v="Description -  This Req has been handled by Sales Team and this is related to Pricing Error"/>
  </r>
  <r>
    <s v="A100"/>
    <s v="AFRA100"/>
    <s v="A100-141"/>
    <d v="2025-03-06T00:00:00"/>
    <d v="2026-05-20T00:00:00"/>
    <s v="180+"/>
    <s v="Africa"/>
    <n v="470"/>
    <n v="4314222"/>
    <s v="PO4420963866"/>
    <s v="SO91154763866"/>
    <s v="51154777096"/>
    <d v="2024-11-01T00:00:00"/>
    <s v="1023247"/>
    <x v="1"/>
    <s v="No Receiver"/>
    <n v="2260"/>
    <n v="2260"/>
    <d v="2026-06-15T00:00:00"/>
    <s v="Sales Team"/>
    <s v="Under Sales Team validation"/>
    <s v="Yes"/>
    <s v="Manager"/>
    <s v="NR"/>
    <n v="100191"/>
    <s v="Dominic Flores"/>
    <n v="100191"/>
    <s v="Dominic Flores"/>
    <n v="11"/>
    <s v="Patrick Hayes"/>
    <s v="Dominic Flores"/>
    <s v="Description -  This Req has been handled by Sales Team and this is related to No Receiver"/>
  </r>
  <r>
    <s v="A100"/>
    <s v="AFRA100"/>
    <s v="A100-141"/>
    <d v="2025-05-01T00:00:00"/>
    <d v="2026-05-20T00:00:00"/>
    <s v="180+"/>
    <s v="Africa"/>
    <n v="414"/>
    <n v="4324812"/>
    <s v="PO4419844644"/>
    <s v="SO91151144644"/>
    <s v="51151169414"/>
    <d v="2025-04-30T00:00:00"/>
    <s v="1023247"/>
    <x v="1"/>
    <s v="Resolve with Buyer"/>
    <n v="720"/>
    <n v="720"/>
    <d v="2026-06-15T00:00:00"/>
    <s v="Sales Team"/>
    <s v="Under Sales Team validation"/>
    <s v="Yes"/>
    <s v="Manager"/>
    <s v="RB"/>
    <n v="100201"/>
    <s v="Aiden Harper"/>
    <n v="100201"/>
    <s v="Aiden Harper"/>
    <n v="11"/>
    <s v="Patrick Hayes"/>
    <s v="Aiden Harper"/>
    <s v="Description -  This Req has been handled by Sales Team and this is related to Resolve with Buyer"/>
  </r>
  <r>
    <s v="A100"/>
    <s v="AFRA100"/>
    <s v="A100-141"/>
    <d v="2025-05-01T00:00:00"/>
    <d v="2025-06-12T00:00:00"/>
    <s v="180+"/>
    <s v="Africa"/>
    <n v="414"/>
    <n v="4327591"/>
    <s v="PO4420668331"/>
    <s v="SO91156768331"/>
    <s v="51156730291"/>
    <d v="2025-01-17T00:00:00"/>
    <s v="1355937"/>
    <x v="0"/>
    <s v="PO Closed"/>
    <n v="386.25"/>
    <n v="386.25"/>
    <d v="2026-06-22T00:00:00"/>
    <s v="Sales Team"/>
    <s v="Under Sales Team validation"/>
    <s v="No"/>
    <s v="N/A"/>
    <s v="PC"/>
    <n v="100231"/>
    <s v="Jackson Norris"/>
    <n v="100231"/>
    <s v="Jackson Norris"/>
    <n v="4"/>
    <s v="Patrick Hayes"/>
    <s v="Jackson Norris"/>
    <s v="Description -  This Req has been handled by Sales Team and this is related to PO Closed"/>
  </r>
  <r>
    <s v="A100"/>
    <s v="AFRA100"/>
    <s v="A100-141"/>
    <d v="2025-05-06T00:00:00"/>
    <d v="2026-06-08T00:00:00"/>
    <s v="180+"/>
    <s v="Africa"/>
    <n v="409"/>
    <n v="4328411"/>
    <s v="PO4421009560"/>
    <s v="SO91156809560"/>
    <s v="51156869360"/>
    <d v="2025-04-24T00:00:00"/>
    <s v="1443616"/>
    <x v="2"/>
    <s v="Pricing Error"/>
    <n v="1250"/>
    <n v="9860"/>
    <d v="2026-06-15T00:00:00"/>
    <s v="Sales Team"/>
    <s v="Under Sales Team validation"/>
    <s v="Yes"/>
    <s v="Manager"/>
    <s v="PE"/>
    <n v="100241"/>
    <s v="Leah Pearson"/>
    <n v="100241"/>
    <s v="Leah Pearson"/>
    <n v="11"/>
    <s v="Patrick Hayes"/>
    <s v="Leah Pearson"/>
    <s v="Description -  This Req has been handled by Sales Team and this is related to Pricing Error"/>
  </r>
  <r>
    <s v="A100"/>
    <s v="AFRA100"/>
    <s v="A100-141"/>
    <d v="2025-05-30T00:00:00"/>
    <d v="2026-04-10T00:00:00"/>
    <s v="180+"/>
    <s v="Africa"/>
    <n v="385"/>
    <n v="4330111"/>
    <s v="PO4420710453"/>
    <s v="SO91156910453"/>
    <s v="51156986053"/>
    <d v="2025-05-28T00:00:00"/>
    <s v="1023247"/>
    <x v="1"/>
    <s v="RMA Number Needed"/>
    <n v="3126.82"/>
    <n v="3126.82"/>
    <d v="2026-06-15T00:00:00"/>
    <s v="Materials Team"/>
    <s v="Under Materials Team validation"/>
    <s v="Yes"/>
    <s v="Manager"/>
    <s v="RM"/>
    <n v="100171"/>
    <s v="Sophia Turner"/>
    <n v="100121"/>
    <s v="Olivia Jenkins"/>
    <n v="11"/>
    <s v="Patrick Hayes"/>
    <s v="Olivia Jenkins"/>
    <s v="Description -  This Req has been handled by Materials Team and this is related to RMA Number Needed"/>
  </r>
  <r>
    <s v="A100"/>
    <s v="AFRA100"/>
    <s v="A100-141"/>
    <d v="2025-05-30T00:00:00"/>
    <d v="2025-06-11T00:00:00"/>
    <s v="180+"/>
    <s v="Africa"/>
    <n v="385"/>
    <n v="4329991"/>
    <s v="PO4420734140"/>
    <s v="SO91157034140"/>
    <s v="51157081730"/>
    <d v="2025-05-14T00:00:00"/>
    <s v="1443616"/>
    <x v="2"/>
    <s v="Resolve with Buyer"/>
    <n v="12.5"/>
    <n v="12.5"/>
    <d v="2026-06-15T00:00:00"/>
    <s v="Sales Team"/>
    <s v="Under Sales Team validation"/>
    <s v="Yes"/>
    <s v="Manager"/>
    <s v="RB"/>
    <n v="100271"/>
    <s v="Brooke Palmer"/>
    <n v="100271"/>
    <s v="Brooke Palmer"/>
    <n v="11"/>
    <s v="Patrick Hayes"/>
    <s v="Brooke Palmer"/>
    <s v="Description -  This Req has been handled by Sales Team and this is related to Resolve with Buyer"/>
  </r>
  <r>
    <s v="A100"/>
    <s v="AFRA100"/>
    <s v="A100-141"/>
    <d v="2025-06-16T00:00:00"/>
    <d v="2025-06-16T00:00:00"/>
    <s v="180+"/>
    <s v="Africa"/>
    <n v="368"/>
    <n v="4333141"/>
    <s v="PO4500099949"/>
    <s v="SO91153299949"/>
    <s v="51153272329"/>
    <d v="2025-05-30T00:00:00"/>
    <s v="1443616"/>
    <x v="2"/>
    <s v="No Receiver"/>
    <n v="1874.5"/>
    <n v="1874.5"/>
    <d v="2026-06-15T00:00:00"/>
    <s v="Sales Team"/>
    <s v="Under Sales Team validation"/>
    <s v="Yes"/>
    <s v="Manager"/>
    <s v="NR"/>
    <n v="100281"/>
    <s v="Grace Whitaker"/>
    <n v="100281"/>
    <s v="Grace Whitaker"/>
    <n v="11"/>
    <s v="Patrick Hayes"/>
    <s v="Grace Whitaker"/>
    <s v="Description -  This Req has been handled by Sales Team and this is related to No Receiver"/>
  </r>
  <r>
    <s v="A100"/>
    <s v="AFRA100"/>
    <s v="A100-141"/>
    <d v="2025-06-30T00:00:00"/>
    <d v="2025-10-16T00:00:00"/>
    <s v="180+"/>
    <s v="Africa"/>
    <n v="354"/>
    <n v="4332291"/>
    <s v="PO2100354361"/>
    <s v="SO91158654361"/>
    <s v="51158624431"/>
    <d v="2025-06-10T00:00:00"/>
    <s v="1443616"/>
    <x v="2"/>
    <s v="Resolve with Buyer"/>
    <n v="7349.56"/>
    <n v="7349.56"/>
    <d v="2026-06-15T00:00:00"/>
    <s v="Sales Team"/>
    <s v="Under Sales Team validation"/>
    <s v="Yes"/>
    <s v="Manager"/>
    <s v="RB"/>
    <n v="100111"/>
    <s v="Andrew Ross"/>
    <n v="100111"/>
    <s v="Andrew Ross"/>
    <n v="11"/>
    <s v="Patrick Hayes"/>
    <s v="Andrew Ross"/>
    <s v="Description -  This Req has been handled by Sales Team and this is related to Resolve with Buyer"/>
  </r>
  <r>
    <s v="A100"/>
    <s v="AFRA100"/>
    <s v="A100-141"/>
    <d v="2025-08-01T00:00:00"/>
    <d v="2025-08-01T00:00:00"/>
    <s v="180+"/>
    <s v="Africa"/>
    <n v="322"/>
    <n v="4351621"/>
    <s v="PO4421775475"/>
    <s v="SO95113275475"/>
    <s v="55113258555"/>
    <d v="2025-07-17T00:00:00"/>
    <s v="1443616"/>
    <x v="2"/>
    <s v="No Receiver"/>
    <n v="23400"/>
    <n v="23400"/>
    <d v="2026-06-15T00:00:00"/>
    <s v="Sales Team"/>
    <s v="Under Sales Team validation"/>
    <s v="Yes"/>
    <s v="Manager"/>
    <s v="NR"/>
    <n v="100121"/>
    <s v="Olivia Jenkins"/>
    <n v="100121"/>
    <s v="Olivia Jenkins"/>
    <n v="11"/>
    <s v="Patrick Hayes"/>
    <s v="Olivia Jenkins"/>
    <s v="Description -  This Req has been handled by Sales Team and this is related to No Receiver"/>
  </r>
  <r>
    <s v="A100"/>
    <s v="AFRA100"/>
    <s v="A100-141"/>
    <d v="2025-08-02T00:00:00"/>
    <d v="2025-08-02T00:00:00"/>
    <s v="180+"/>
    <s v="Africa"/>
    <n v="321"/>
    <n v="4353001"/>
    <s v="PO4420722849"/>
    <s v="SO91157922849"/>
    <s v="51157989199"/>
    <d v="2025-07-31T00:00:00"/>
    <s v="1355937"/>
    <x v="0"/>
    <s v="Unknown Deduction"/>
    <n v="306.92"/>
    <n v="306.92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5-08-15T00:00:00"/>
    <d v="2025-10-15T00:00:00"/>
    <s v="180+"/>
    <s v="Africa"/>
    <n v="308"/>
    <n v="4356661"/>
    <s v="PO3014172009"/>
    <s v="SO91160872009"/>
    <s v="51160871469"/>
    <d v="2025-07-22T00:00:00"/>
    <s v="1355937"/>
    <x v="0"/>
    <s v="Unknown Deduction"/>
    <n v="7.1"/>
    <n v="578.82000000000005"/>
    <d v="2026-06-22T00:00:00"/>
    <s v="Credit Team"/>
    <s v="Under Credit Team validation"/>
    <s v="No"/>
    <s v="N/A"/>
    <s v="UN"/>
    <n v="100261"/>
    <s v="Taylor Jennings"/>
    <n v="100191"/>
    <s v="Dominic Flores"/>
    <n v="4"/>
    <s v="Patrick Hayes"/>
    <s v="Dominic Flores"/>
    <s v="Description -  This Req has been handled by Credit Team and this is related to Unknown Deduction"/>
  </r>
  <r>
    <s v="A100"/>
    <s v="AFRA100"/>
    <s v="A100-141"/>
    <d v="2025-08-16T00:00:00"/>
    <d v="2025-08-16T00:00:00"/>
    <s v="180+"/>
    <s v="Africa"/>
    <n v="307"/>
    <n v="4356401"/>
    <s v="PO3014154467"/>
    <s v="SO91160854467"/>
    <s v="51160871477"/>
    <d v="2025-08-01T00:00:00"/>
    <s v="1355937"/>
    <x v="0"/>
    <s v="Unknown Deduction"/>
    <n v="146.15"/>
    <n v="146.15"/>
    <d v="2026-06-22T00:00:00"/>
    <s v="Credit Team"/>
    <s v="Under Credit Team validation"/>
    <s v="No"/>
    <s v="N/A"/>
    <s v="UN"/>
    <n v="100101"/>
    <s v="James Mitchell"/>
    <n v="100111"/>
    <s v="Andrew Ross"/>
    <n v="4"/>
    <s v="Patrick Hayes"/>
    <s v="Andrew Ross"/>
    <s v="Description -  This Req has been handled by Credit Team and this is related to Unknown Deduction"/>
  </r>
  <r>
    <s v="A100"/>
    <s v="AFRA100"/>
    <s v="A100-141"/>
    <d v="2025-08-21T00:00:00"/>
    <d v="2026-05-20T00:00:00"/>
    <s v="180+"/>
    <s v="Africa"/>
    <n v="302"/>
    <n v="4356561"/>
    <s v="PO3014219383"/>
    <s v="SO91160719383"/>
    <s v="51160727893"/>
    <d v="2025-02-12T00:00:00"/>
    <s v="1023247"/>
    <x v="1"/>
    <s v="No Receiver"/>
    <n v="6481.3"/>
    <n v="6481.3"/>
    <d v="2026-06-15T00:00:00"/>
    <s v="Sales Team"/>
    <s v="Under Sales Team validation"/>
    <s v="Yes"/>
    <s v="Manager"/>
    <s v="NR"/>
    <n v="100151"/>
    <s v="Mason Reynolds"/>
    <n v="100151"/>
    <s v="Mason Reynolds"/>
    <n v="11"/>
    <s v="Patrick Hayes"/>
    <s v="Mason Reynolds"/>
    <s v="Description -  This Req has been handled by Sales Team and this is related to No Receiver"/>
  </r>
  <r>
    <s v="A100"/>
    <s v="AFRA100"/>
    <s v="A100-141"/>
    <d v="2025-09-11T00:00:00"/>
    <d v="2026-06-09T00:00:00"/>
    <s v="180+"/>
    <s v="Africa"/>
    <n v="281"/>
    <n v="4367001"/>
    <s v="PO4518574688"/>
    <s v="SO91160274688"/>
    <s v="51160297898"/>
    <d v="2025-06-27T00:00:00"/>
    <s v="1361989"/>
    <x v="3"/>
    <s v="Resolve with Buyer"/>
    <n v="540"/>
    <n v="540"/>
    <d v="2026-06-03T00:00:00"/>
    <s v="Sales Team"/>
    <s v="Under Sales Team validation"/>
    <s v="No"/>
    <s v="N/A"/>
    <s v="RB"/>
    <n v="100161"/>
    <s v="Connor Bishop"/>
    <n v="100161"/>
    <s v="Connor Bishop"/>
    <n v="23"/>
    <s v="Patrick Hayes"/>
    <s v="Connor Bishop"/>
    <s v="Description -  This Req has been handled by Sales Team and this is related to Resolve with Buyer"/>
  </r>
  <r>
    <s v="A100"/>
    <s v="AFRA100"/>
    <s v="A100-141"/>
    <d v="2025-09-19T00:00:00"/>
    <d v="2025-09-19T00:00:00"/>
    <s v="180+"/>
    <s v="Africa"/>
    <n v="273"/>
    <n v="4372891"/>
    <s v="PO3014129100"/>
    <s v="SO91162129100"/>
    <s v="51162145640"/>
    <d v="2025-08-26T00:00:00"/>
    <s v="1443616"/>
    <x v="2"/>
    <s v="No Receiver"/>
    <n v="11765.88"/>
    <n v="11765.88"/>
    <d v="2026-06-15T00:00:00"/>
    <s v="Sales Team"/>
    <s v="Under Sales Team validation"/>
    <s v="Yes"/>
    <s v="Manager"/>
    <s v="NR"/>
    <n v="100191"/>
    <s v="Dominic Flores"/>
    <n v="100191"/>
    <s v="Dominic Flores"/>
    <n v="11"/>
    <s v="Patrick Hayes"/>
    <s v="Dominic Flores"/>
    <s v="Description -  This Req has been handled by Sales Team and this is related to No Receiver"/>
  </r>
  <r>
    <s v="A100"/>
    <s v="AFRA100"/>
    <s v="A100-141"/>
    <d v="2025-10-02T00:00:00"/>
    <d v="2026-05-20T00:00:00"/>
    <s v="180+"/>
    <s v="Africa"/>
    <n v="260"/>
    <n v="4377371"/>
    <s v="POPOJS160718"/>
    <s v="SO91151060718"/>
    <s v="51151026128"/>
    <d v="2025-10-01T00:00:00"/>
    <s v="1023247"/>
    <x v="1"/>
    <s v="Resolve with Buyer"/>
    <n v="2295.64"/>
    <n v="2295.64"/>
    <d v="2026-06-15T00:00:00"/>
    <s v="Sales Team"/>
    <s v="Under Sales Team validation"/>
    <s v="Yes"/>
    <s v="Manager"/>
    <s v="RB"/>
    <n v="100201"/>
    <s v="Aiden Harper"/>
    <n v="100201"/>
    <s v="Aiden Harper"/>
    <n v="11"/>
    <s v="Patrick Hayes"/>
    <s v="Aiden Harper"/>
    <s v="Description -  This Req has been handled by Sales Team and this is related to Resolve with Buyer"/>
  </r>
  <r>
    <s v="A100"/>
    <s v="AFRA100"/>
    <s v="A100-141"/>
    <d v="2025-10-15T00:00:00"/>
    <d v="2026-05-18T00:00:00"/>
    <s v="180+"/>
    <s v="Africa"/>
    <n v="247"/>
    <n v="4386228"/>
    <s v="PO7959598481"/>
    <s v="SO90117798481"/>
    <s v="50117795951"/>
    <d v="2025-04-21T00:00:00"/>
    <s v="1286262"/>
    <x v="4"/>
    <s v="Resolve with Buyer"/>
    <n v="100"/>
    <n v="100"/>
    <d v="2026-06-22T00:00:00"/>
    <s v="Sales Team"/>
    <s v="Under Sales Team validation"/>
    <s v="No"/>
    <s v="N/A"/>
    <s v="RB"/>
    <n v="100231"/>
    <s v="Jackson Norris"/>
    <n v="100231"/>
    <s v="Jackson Norris"/>
    <n v="4"/>
    <s v="Patrick Hayes"/>
    <s v="Jackson Norris"/>
    <s v="Description -  This Req has been handled by Sales Team and this is related to Resolve with Buyer"/>
  </r>
  <r>
    <s v="A100"/>
    <s v="AFRA100"/>
    <s v="A100-141"/>
    <d v="2025-10-31T00:00:00"/>
    <d v="2026-06-08T00:00:00"/>
    <s v="180+"/>
    <s v="Africa"/>
    <n v="231"/>
    <n v="4392867"/>
    <s v="PO2024030099"/>
    <s v="SO95113330099"/>
    <s v="55113373969"/>
    <d v="2025-10-15T00:00:00"/>
    <s v="1443616"/>
    <x v="2"/>
    <s v="Pricing Error"/>
    <n v="23800"/>
    <n v="240380"/>
    <d v="2026-06-15T00:00:00"/>
    <s v="Sales Team"/>
    <s v="Under Sales Team validation"/>
    <s v="Yes"/>
    <s v="Manager"/>
    <s v="PE"/>
    <n v="100241"/>
    <s v="Leah Pearson"/>
    <n v="100241"/>
    <s v="Leah Pearson"/>
    <n v="11"/>
    <s v="Patrick Hayes"/>
    <s v="Leah Pearson"/>
    <s v="Description -  This Req has been handled by Sales Team and this is related to Pricing Error"/>
  </r>
  <r>
    <s v="A100"/>
    <s v="AFRA100"/>
    <s v="A100-141"/>
    <d v="2025-11-05T00:00:00"/>
    <d v="2025-12-24T00:00:00"/>
    <s v="180+"/>
    <s v="Africa"/>
    <n v="226"/>
    <n v="4395956"/>
    <s v="POME38A07305"/>
    <s v="SO91162307305"/>
    <s v="51162318525"/>
    <d v="2025-09-17T00:00:00"/>
    <s v="1200360"/>
    <x v="5"/>
    <s v="Unknown Deduction"/>
    <n v="194.8"/>
    <n v="370.42"/>
    <d v="2026-03-10T00:00:00"/>
    <s v="Credit Team"/>
    <s v="Under Credit Team validation"/>
    <s v="No"/>
    <s v="N/A"/>
    <s v="UN"/>
    <n v="100141"/>
    <s v="Liam Matthews"/>
    <n v="100121"/>
    <s v="Olivia Jenkins"/>
    <n v="108"/>
    <s v="Patrick Hayes"/>
    <s v="Olivia Jenkins"/>
    <s v="Description -  This Req has been handled by Credit Team and this is related to Unknown Deduction"/>
  </r>
  <r>
    <s v="A100"/>
    <s v="AFRA100"/>
    <s v="A100-141"/>
    <d v="2025-11-05T00:00:00"/>
    <d v="2025-12-24T00:00:00"/>
    <s v="180+"/>
    <s v="Africa"/>
    <n v="226"/>
    <n v="4395716"/>
    <s v="PO07-FE48534"/>
    <s v="SO91160148534"/>
    <s v="51160154034"/>
    <d v="2025-07-23T00:00:00"/>
    <s v="1200360"/>
    <x v="5"/>
    <s v="Unknown Deduction"/>
    <n v="389.6"/>
    <n v="1492.42"/>
    <d v="2026-03-10T00:00:00"/>
    <s v="Credit Team"/>
    <s v="Under Credit Team validation"/>
    <s v="No"/>
    <s v="N/A"/>
    <s v="UN"/>
    <n v="100181"/>
    <s v="Ella Bennett"/>
    <n v="100151"/>
    <s v="Mason Reynolds"/>
    <n v="108"/>
    <s v="Patrick Hayes"/>
    <s v="Mason Reynolds"/>
    <s v="Description -  This Req has been handled by Credit Team and this is related to Unknown Deduction"/>
  </r>
  <r>
    <s v="A100"/>
    <s v="AFRA100"/>
    <s v="A100-141"/>
    <d v="2025-11-05T00:00:00"/>
    <d v="2025-12-24T00:00:00"/>
    <s v="180+"/>
    <s v="Africa"/>
    <n v="226"/>
    <n v="4395796"/>
    <s v="PO14-FE89763"/>
    <s v="SO91160989763"/>
    <s v="51160979923"/>
    <d v="2025-08-07T00:00:00"/>
    <s v="1200360"/>
    <x v="5"/>
    <s v="Unknown Deduction"/>
    <n v="364"/>
    <n v="776.73"/>
    <d v="2026-03-10T00:00:00"/>
    <s v="Credit Team"/>
    <s v="Under Credit Team validation"/>
    <s v="No"/>
    <s v="N/A"/>
    <s v="UN"/>
    <n v="100221"/>
    <s v="Eli Hudson"/>
    <n v="100161"/>
    <s v="Connor Bishop"/>
    <n v="108"/>
    <s v="Patrick Hayes"/>
    <s v="Connor Bishop"/>
    <s v="Description -  This Req has been handled by Credit Team and this is related to Unknown Deduction"/>
  </r>
  <r>
    <s v="A100"/>
    <s v="AFRA100"/>
    <s v="A100-141"/>
    <d v="2025-11-13T00:00:00"/>
    <d v="2025-11-13T00:00:00"/>
    <s v="180+"/>
    <s v="Africa"/>
    <n v="218"/>
    <n v="4398986"/>
    <s v="POWol84511"/>
    <s v="SO91160384511"/>
    <s v="51160320651"/>
    <d v="2025-09-16T00:00:00"/>
    <s v="1443616"/>
    <x v="2"/>
    <s v="Resolve with Buyer"/>
    <n v="25000"/>
    <n v="25000"/>
    <d v="2026-06-15T00:00:00"/>
    <s v="Sales Team"/>
    <s v="Under Sales Team validation"/>
    <s v="Yes"/>
    <s v="Manager"/>
    <s v="RB"/>
    <n v="100271"/>
    <s v="Brooke Palmer"/>
    <n v="100271"/>
    <s v="Brooke Palmer"/>
    <n v="11"/>
    <s v="Patrick Hayes"/>
    <s v="Brooke Palmer"/>
    <s v="Description -  This Req has been handled by Sales Team and this is related to Resolve with Buyer"/>
  </r>
  <r>
    <s v="A100"/>
    <s v="AFRA100"/>
    <s v="A100-141"/>
    <d v="2025-12-05T00:00:00"/>
    <d v="2025-12-24T00:00:00"/>
    <s v="180+"/>
    <s v="Africa"/>
    <n v="196"/>
    <n v="4399905"/>
    <s v="PO4421539816"/>
    <s v="SO91159739816"/>
    <s v="51159703866"/>
    <d v="2025-08-06T00:00:00"/>
    <s v="1200360"/>
    <x v="5"/>
    <s v="Unknown Deduction"/>
    <n v="364"/>
    <n v="793.22"/>
    <d v="2026-03-10T00:00:00"/>
    <s v="Credit Team"/>
    <s v="Under Credit Team validation"/>
    <s v="No"/>
    <s v="N/A"/>
    <s v="UN"/>
    <n v="100261"/>
    <s v="Taylor Jennings"/>
    <n v="100191"/>
    <s v="Dominic Flores"/>
    <n v="108"/>
    <s v="Patrick Hayes"/>
    <s v="Dominic Flores"/>
    <s v="Description -  This Req has been handled by Credit Team and this is related to Unknown Deduction"/>
  </r>
  <r>
    <s v="A100"/>
    <s v="AFRA100"/>
    <s v="A100-141"/>
    <d v="2025-12-05T00:00:00"/>
    <d v="2025-12-24T00:00:00"/>
    <s v="180+"/>
    <s v="Africa"/>
    <n v="196"/>
    <n v="4404605"/>
    <s v="PO05-AD81045"/>
    <s v="SO91161181045"/>
    <s v="51161151795"/>
    <d v="2025-09-17T00:00:00"/>
    <s v="1200360"/>
    <x v="5"/>
    <s v="Unknown Deduction"/>
    <n v="364"/>
    <n v="689.12"/>
    <d v="2026-03-10T00:00:00"/>
    <s v="Credit Team"/>
    <s v="Under Credit Team validation"/>
    <s v="No"/>
    <s v="N/A"/>
    <s v="UN"/>
    <n v="100101"/>
    <s v="James Mitchell"/>
    <n v="100111"/>
    <s v="Andrew Ross"/>
    <n v="108"/>
    <s v="Patrick Hayes"/>
    <s v="Andrew Ross"/>
    <s v="Description -  This Req has been handled by Credit Team and this is related to Unknown Deduction"/>
  </r>
  <r>
    <s v="A100"/>
    <s v="AFRA100"/>
    <s v="A100-141"/>
    <d v="2025-12-05T00:00:00"/>
    <d v="2025-12-24T00:00:00"/>
    <s v="180+"/>
    <s v="Africa"/>
    <n v="196"/>
    <n v="4404585"/>
    <s v="PO05-AD22274"/>
    <s v="SO91160922274"/>
    <s v="51160913864"/>
    <d v="2025-08-14T00:00:00"/>
    <s v="1200360"/>
    <x v="5"/>
    <s v="Unknown Deduction"/>
    <n v="728"/>
    <n v="1697.38"/>
    <d v="2026-03-10T00:00:00"/>
    <s v="Credit Team"/>
    <s v="Under Credit Team validation"/>
    <s v="No"/>
    <s v="N/A"/>
    <s v="UN"/>
    <n v="100141"/>
    <s v="Liam Matthews"/>
    <n v="100121"/>
    <s v="Olivia Jenkins"/>
    <n v="108"/>
    <s v="Patrick Hayes"/>
    <s v="Olivia Jenkins"/>
    <s v="Description -  This Req has been handled by Credit Team and this is related to Unknown Deduction"/>
  </r>
  <r>
    <s v="A100"/>
    <s v="AFRA100"/>
    <s v="A100-141"/>
    <d v="2025-12-05T00:00:00"/>
    <d v="2025-12-24T00:00:00"/>
    <s v="180+"/>
    <s v="Africa"/>
    <n v="196"/>
    <n v="4404575"/>
    <s v="PO05-AD63503"/>
    <s v="SO91160563503"/>
    <s v="51160552653"/>
    <d v="2025-09-17T00:00:00"/>
    <s v="1200360"/>
    <x v="5"/>
    <s v="Unknown Deduction"/>
    <n v="364"/>
    <n v="563.71"/>
    <d v="2026-03-10T00:00:00"/>
    <s v="Credit Team"/>
    <s v="Under Credit Team validation"/>
    <s v="No"/>
    <s v="N/A"/>
    <s v="UN"/>
    <n v="100181"/>
    <s v="Ella Bennett"/>
    <n v="100151"/>
    <s v="Mason Reynolds"/>
    <n v="108"/>
    <s v="Patrick Hayes"/>
    <s v="Mason Reynolds"/>
    <s v="Description -  This Req has been handled by Credit Team and this is related to Unknown Deduction"/>
  </r>
  <r>
    <s v="A100"/>
    <s v="AFRA100"/>
    <s v="A100-141"/>
    <d v="2025-12-16T00:00:00"/>
    <d v="2026-03-18T00:00:00"/>
    <s v="180+"/>
    <s v="Africa"/>
    <n v="185"/>
    <n v="4407134"/>
    <s v="PO4502247747"/>
    <s v="SO91161447747"/>
    <s v="51161453037"/>
    <d v="2025-09-30T00:00:00"/>
    <s v="1200360"/>
    <x v="5"/>
    <s v="Resolve with Buyer"/>
    <n v="493.2"/>
    <n v="1147.3699999999999"/>
    <d v="2026-03-10T00:00:00"/>
    <s v="Sales Team"/>
    <s v="Under Sales Team validation"/>
    <s v="No"/>
    <s v="N/A"/>
    <s v="RB"/>
    <n v="100281"/>
    <s v="Grace Whitaker"/>
    <n v="100281"/>
    <s v="Grace Whitaker"/>
    <n v="108"/>
    <s v="Patrick Hayes"/>
    <s v="Grace Whitaker"/>
    <s v="Description -  This Req has been handled by Sales Team and this is related to Resolve with Buyer"/>
  </r>
  <r>
    <s v="A100"/>
    <s v="AFRA100"/>
    <s v="A100-141"/>
    <d v="2025-12-18T00:00:00"/>
    <d v="2025-12-18T00:00:00"/>
    <s v="180+"/>
    <s v="Africa"/>
    <n v="183"/>
    <n v="4406654"/>
    <s v="PO4504512663"/>
    <s v="SO91162412663"/>
    <s v="51162447353"/>
    <d v="2025-11-04T00:00:00"/>
    <s v="1443616"/>
    <x v="2"/>
    <s v="Resolve with Buyer"/>
    <n v="3897"/>
    <n v="3897"/>
    <d v="2026-06-15T00:00:00"/>
    <s v="Sales Team"/>
    <s v="Under Sales Team validation"/>
    <s v="Yes"/>
    <s v="Manager"/>
    <s v="RB"/>
    <n v="100111"/>
    <s v="Andrew Ross"/>
    <n v="100111"/>
    <s v="Andrew Ross"/>
    <n v="11"/>
    <s v="Patrick Hayes"/>
    <s v="Andrew Ross"/>
    <s v="Description -  This Req has been handled by Sales Team and this is related to Resolve with Buyer"/>
  </r>
  <r>
    <s v="A100"/>
    <s v="AFRA100"/>
    <s v="A100-141"/>
    <d v="2025-12-19T00:00:00"/>
    <d v="2026-05-20T00:00:00"/>
    <s v="180+"/>
    <s v="Africa"/>
    <n v="182"/>
    <n v="4413854"/>
    <s v="PO3251091655"/>
    <s v="SO91162891655"/>
    <s v="51162874045"/>
    <d v="2025-12-17T00:00:00"/>
    <s v="1023247"/>
    <x v="1"/>
    <s v="RMA Number Needed"/>
    <n v="551.22"/>
    <n v="551.22"/>
    <d v="2026-06-15T00:00:00"/>
    <s v="Materials Team"/>
    <s v="Under Materials Team validation"/>
    <s v="Yes"/>
    <s v="Manager"/>
    <s v="RM"/>
    <n v="100211"/>
    <s v="Charles Benson"/>
    <n v="100151"/>
    <s v="Mason Reynolds"/>
    <n v="11"/>
    <s v="Patrick Hayes"/>
    <s v="Mason Reynolds"/>
    <s v="Description -  This Req has been handled by Materials Team and this is related to RMA Number Needed"/>
  </r>
  <r>
    <s v="A100"/>
    <s v="AFRA100"/>
    <s v="A100-141"/>
    <d v="2025-12-22T00:00:00"/>
    <d v="2025-12-22T00:00:00"/>
    <s v="90+"/>
    <s v="Africa"/>
    <n v="179"/>
    <n v="4412684"/>
    <s v="POcriti15342"/>
    <s v="SO91160215342"/>
    <s v="51160296922"/>
    <d v="2025-11-06T00:00:00"/>
    <s v="1443616"/>
    <x v="2"/>
    <s v="Resolve with Buyer"/>
    <n v="3152"/>
    <n v="3152"/>
    <d v="2026-06-15T00:00:00"/>
    <s v="Sales Team"/>
    <s v="Under Sales Team validation"/>
    <s v="Yes"/>
    <s v="Manager"/>
    <s v="RB"/>
    <n v="100121"/>
    <s v="Olivia Jenkins"/>
    <n v="100121"/>
    <s v="Olivia Jenkins"/>
    <n v="11"/>
    <s v="Patrick Hayes"/>
    <s v="Olivia Jenkins"/>
    <s v="Description -  This Req has been handled by Sales Team and this is related to Resolve with Buyer"/>
  </r>
  <r>
    <s v="A100"/>
    <s v="AFRA100"/>
    <s v="A100-141"/>
    <d v="2025-12-23T00:00:00"/>
    <d v="2025-12-23T00:00:00"/>
    <s v="90+"/>
    <s v="Africa"/>
    <n v="178"/>
    <n v="4413864"/>
    <s v="PO3251056571"/>
    <s v="SO91162956571"/>
    <s v="51162969701"/>
    <d v="2025-11-13T00:00:00"/>
    <s v="1443616"/>
    <x v="2"/>
    <s v="No Receiver"/>
    <n v="10234"/>
    <n v="10234"/>
    <d v="2026-06-15T00:00:00"/>
    <s v="Sales Team"/>
    <s v="Under Sales Team validation"/>
    <s v="Yes"/>
    <s v="Manager"/>
    <s v="NR"/>
    <n v="100151"/>
    <s v="Mason Reynolds"/>
    <n v="100151"/>
    <s v="Mason Reynolds"/>
    <n v="11"/>
    <s v="Patrick Hayes"/>
    <s v="Mason Reynolds"/>
    <s v="Description -  This Req has been handled by Sales Team and this is related to No Receiver"/>
  </r>
  <r>
    <s v="A100"/>
    <s v="AFRA100"/>
    <s v="A100-141"/>
    <d v="2025-12-23T00:00:00"/>
    <d v="2025-12-23T00:00:00"/>
    <s v="90+"/>
    <s v="Africa"/>
    <n v="178"/>
    <n v="4413964"/>
    <s v="PO3251497800"/>
    <s v="SO91162997800"/>
    <s v="51162969750"/>
    <d v="2025-11-14T00:00:00"/>
    <s v="1443616"/>
    <x v="2"/>
    <s v="Resolve with Buyer"/>
    <n v="5845.5"/>
    <n v="5845.5"/>
    <d v="2026-06-15T00:00:00"/>
    <s v="Sales Team"/>
    <s v="Under Sales Team validation"/>
    <s v="Yes"/>
    <s v="Manager"/>
    <s v="RB"/>
    <n v="100161"/>
    <s v="Connor Bishop"/>
    <n v="100161"/>
    <s v="Connor Bishop"/>
    <n v="11"/>
    <s v="Patrick Hayes"/>
    <s v="Connor Bishop"/>
    <s v="Description -  This Req has been handled by Sales Team and this is related to Resolve with Buyer"/>
  </r>
  <r>
    <s v="A100"/>
    <s v="AFRA100"/>
    <s v="A100-141"/>
    <d v="2025-12-23T00:00:00"/>
    <d v="2025-12-23T00:00:00"/>
    <s v="90+"/>
    <s v="Africa"/>
    <n v="178"/>
    <n v="4413944"/>
    <s v="POAV06239029"/>
    <s v="SO90117939029"/>
    <s v="50117924979"/>
    <d v="2025-11-17T00:00:00"/>
    <s v="1443616"/>
    <x v="2"/>
    <s v="Resolve with Buyer"/>
    <n v="676.9"/>
    <n v="676.9"/>
    <d v="2026-06-15T00:00:00"/>
    <s v="Sales Team"/>
    <s v="Under Sales Team validation"/>
    <s v="Yes"/>
    <s v="Manager"/>
    <s v="RB"/>
    <n v="100191"/>
    <s v="Dominic Flores"/>
    <n v="100191"/>
    <s v="Dominic Flores"/>
    <n v="11"/>
    <s v="Patrick Hayes"/>
    <s v="Dominic Flores"/>
    <s v="Description -  This Req has been handled by Sales Team and this is related to Resolve with Buyer"/>
  </r>
  <r>
    <s v="A100"/>
    <s v="AFRA100"/>
    <s v="A100-141"/>
    <d v="2025-12-23T00:00:00"/>
    <d v="2025-12-23T00:00:00"/>
    <s v="90+"/>
    <s v="Africa"/>
    <n v="178"/>
    <n v="4413924"/>
    <s v="POAV05280258"/>
    <s v="SO90117980258"/>
    <s v="50117924978"/>
    <d v="2025-11-19T00:00:00"/>
    <s v="1443616"/>
    <x v="2"/>
    <s v="Resolve with Buyer"/>
    <n v="549.72"/>
    <n v="549.72"/>
    <d v="2026-06-15T00:00:00"/>
    <s v="Sales Team"/>
    <s v="Under Sales Team validation"/>
    <s v="Yes"/>
    <s v="Manager"/>
    <s v="RB"/>
    <n v="100201"/>
    <s v="Aiden Harper"/>
    <n v="100201"/>
    <s v="Aiden Harper"/>
    <n v="11"/>
    <s v="Patrick Hayes"/>
    <s v="Aiden Harper"/>
    <s v="Description -  This Req has been handled by Sales Team and this is related to Resolve with Buyer"/>
  </r>
  <r>
    <s v="A100"/>
    <s v="AFRA100"/>
    <s v="A100-141"/>
    <d v="2025-12-23T00:00:00"/>
    <d v="2025-12-23T00:00:00"/>
    <s v="90+"/>
    <s v="Africa"/>
    <n v="178"/>
    <n v="4412414"/>
    <s v="PO4500621487"/>
    <s v="SO91162121487"/>
    <s v="51162188217"/>
    <d v="2025-11-19T00:00:00"/>
    <s v="1443616"/>
    <x v="2"/>
    <s v="Resolve with Buyer"/>
    <n v="274.86"/>
    <n v="274.86"/>
    <d v="2026-06-15T00:00:00"/>
    <s v="Sales Team"/>
    <s v="Under Sales Team validation"/>
    <s v="Yes"/>
    <s v="Manager"/>
    <s v="RB"/>
    <n v="100231"/>
    <s v="Jackson Norris"/>
    <n v="100231"/>
    <s v="Jackson Norris"/>
    <n v="11"/>
    <s v="Patrick Hayes"/>
    <s v="Jackson Norris"/>
    <s v="Description -  This Req has been handled by Sales Team and this is related to Resolve with Buyer"/>
  </r>
  <r>
    <s v="A100"/>
    <s v="AFRA100"/>
    <s v="A100-141"/>
    <d v="2025-12-23T00:00:00"/>
    <d v="2025-12-23T00:00:00"/>
    <s v="90+"/>
    <s v="Africa"/>
    <n v="178"/>
    <n v="4413373"/>
    <s v="PO4513362716"/>
    <s v="SO91161562716"/>
    <s v="51161569796"/>
    <d v="2025-11-22T00:00:00"/>
    <s v="1443616"/>
    <x v="2"/>
    <s v="Resolve with Buyer"/>
    <n v="168"/>
    <n v="168"/>
    <d v="2026-06-15T00:00:00"/>
    <s v="Sales Team"/>
    <s v="Under Sales Team validation"/>
    <s v="Yes"/>
    <s v="Manager"/>
    <s v="RB"/>
    <n v="100241"/>
    <s v="Leah Pearson"/>
    <n v="100241"/>
    <s v="Leah Pearson"/>
    <n v="11"/>
    <s v="Patrick Hayes"/>
    <s v="Leah Pearson"/>
    <s v="Description -  This Req has been handled by Sales Team and this is related to Resolve with Buyer"/>
  </r>
  <r>
    <s v="A100"/>
    <s v="AFRA100"/>
    <s v="A100-141"/>
    <d v="2025-12-23T00:00:00"/>
    <d v="2025-12-23T00:00:00"/>
    <s v="90+"/>
    <s v="Africa"/>
    <n v="178"/>
    <n v="4413383"/>
    <s v="PO4513303945"/>
    <s v="SO91161503945"/>
    <s v="51161569815"/>
    <d v="2025-11-26T00:00:00"/>
    <s v="1443616"/>
    <x v="2"/>
    <s v="Resolve with Buyer"/>
    <n v="42"/>
    <n v="42"/>
    <d v="2026-06-15T00:00:00"/>
    <s v="Sales Team"/>
    <s v="Under Sales Team validation"/>
    <s v="Yes"/>
    <s v="Manager"/>
    <s v="RB"/>
    <n v="100271"/>
    <s v="Brooke Palmer"/>
    <n v="100271"/>
    <s v="Brooke Palmer"/>
    <n v="11"/>
    <s v="Patrick Hayes"/>
    <s v="Brooke Palmer"/>
    <s v="Description -  This Req has been handled by Sales Team and this is related to Resolve with Buyer"/>
  </r>
  <r>
    <s v="A100"/>
    <s v="AFRA100"/>
    <s v="A100-141"/>
    <d v="2025-12-29T00:00:00"/>
    <d v="2025-12-29T00:00:00"/>
    <s v="90+"/>
    <s v="Africa"/>
    <n v="172"/>
    <n v="4414663"/>
    <s v="PO4517427632"/>
    <s v="SO95113427632"/>
    <s v="55113474632"/>
    <d v="2025-12-02T00:00:00"/>
    <s v="1443616"/>
    <x v="2"/>
    <s v="Resolve with Buyer"/>
    <n v="11691"/>
    <n v="11691"/>
    <d v="2026-06-15T00:00:00"/>
    <s v="Sales Team"/>
    <s v="Under Sales Team validation"/>
    <s v="Yes"/>
    <s v="Manager"/>
    <s v="RB"/>
    <n v="100281"/>
    <s v="Grace Whitaker"/>
    <n v="100281"/>
    <s v="Grace Whitaker"/>
    <n v="11"/>
    <s v="Patrick Hayes"/>
    <s v="Grace Whitaker"/>
    <s v="Description -  This Req has been handled by Sales Team and this is related to Resolve with Buyer"/>
  </r>
  <r>
    <s v="A100"/>
    <s v="AFRA100"/>
    <s v="A100-141"/>
    <d v="2025-12-29T00:00:00"/>
    <d v="2025-12-29T00:00:00"/>
    <s v="90+"/>
    <s v="Africa"/>
    <n v="172"/>
    <n v="4415103"/>
    <s v="PO4517368861"/>
    <s v="SO95113468861"/>
    <s v="55113474611"/>
    <d v="2025-12-09T00:00:00"/>
    <s v="1443616"/>
    <x v="2"/>
    <s v="No Receiver"/>
    <n v="13867.07"/>
    <n v="13867.07"/>
    <d v="2026-06-15T00:00:00"/>
    <s v="Sales Team"/>
    <s v="Under Sales Team validation"/>
    <s v="Yes"/>
    <s v="Manager"/>
    <s v="NR"/>
    <n v="100111"/>
    <s v="Andrew Ross"/>
    <n v="100111"/>
    <s v="Andrew Ross"/>
    <n v="11"/>
    <s v="Patrick Hayes"/>
    <s v="Andrew Ross"/>
    <s v="Description -  This Req has been handled by Sales Team and this is related to No Receiver"/>
  </r>
  <r>
    <s v="A100"/>
    <s v="AFRA100"/>
    <s v="A100-141"/>
    <d v="2025-12-29T00:00:00"/>
    <d v="2025-12-29T00:00:00"/>
    <s v="90+"/>
    <s v="Africa"/>
    <n v="172"/>
    <n v="4414653"/>
    <s v="PO4420610090"/>
    <s v="SO91159910090"/>
    <s v="51159937570"/>
    <d v="2025-12-12T00:00:00"/>
    <s v="1443616"/>
    <x v="2"/>
    <s v="Resolve with Buyer"/>
    <n v="13639.5"/>
    <n v="13639.5"/>
    <d v="2026-06-15T00:00:00"/>
    <s v="Sales Team"/>
    <s v="Under Sales Team validation"/>
    <s v="Yes"/>
    <s v="Manager"/>
    <s v="RB"/>
    <n v="100121"/>
    <s v="Olivia Jenkins"/>
    <n v="100121"/>
    <s v="Olivia Jenkins"/>
    <n v="11"/>
    <s v="Patrick Hayes"/>
    <s v="Olivia Jenkins"/>
    <s v="Description -  This Req has been handled by Sales Team and this is related to Resolve with Buyer"/>
  </r>
  <r>
    <s v="A100"/>
    <s v="AFRA100"/>
    <s v="A100-141"/>
    <d v="2026-01-06T00:00:00"/>
    <d v="2026-01-06T00:00:00"/>
    <s v="90+"/>
    <s v="Africa"/>
    <n v="164"/>
    <n v="4414333"/>
    <s v="PO4421157464"/>
    <s v="SO91160957464"/>
    <s v="51160940744"/>
    <d v="2025-12-19T00:00:00"/>
    <s v="1443616"/>
    <x v="2"/>
    <s v="Resolve with Buyer"/>
    <n v="210"/>
    <n v="210"/>
    <d v="2026-06-15T00:00:00"/>
    <s v="Sales Team"/>
    <s v="Under Sales Team validation"/>
    <s v="Yes"/>
    <s v="Manager"/>
    <s v="RB"/>
    <n v="100151"/>
    <s v="Mason Reynolds"/>
    <n v="100151"/>
    <s v="Mason Reynolds"/>
    <n v="11"/>
    <s v="Patrick Hayes"/>
    <s v="Mason Reynolds"/>
    <s v="Description -  This Req has been handled by Sales Team and this is related to Resolve with Buyer"/>
  </r>
  <r>
    <s v="A100"/>
    <s v="AFRA100"/>
    <s v="A100-141"/>
    <d v="2026-01-06T00:00:00"/>
    <d v="2026-01-06T00:00:00"/>
    <s v="90+"/>
    <s v="Africa"/>
    <n v="164"/>
    <n v="4414323"/>
    <s v="PO4421398693"/>
    <s v="SO91159998693"/>
    <s v="51159903153"/>
    <d v="2025-12-20T00:00:00"/>
    <s v="1443616"/>
    <x v="2"/>
    <s v="Resolve with Buyer"/>
    <n v="3152"/>
    <n v="3152"/>
    <d v="2026-06-15T00:00:00"/>
    <s v="Sales Team"/>
    <s v="Under Sales Team validation"/>
    <s v="Yes"/>
    <s v="Manager"/>
    <s v="RB"/>
    <n v="100161"/>
    <s v="Connor Bishop"/>
    <n v="100161"/>
    <s v="Connor Bishop"/>
    <n v="11"/>
    <s v="Patrick Hayes"/>
    <s v="Connor Bishop"/>
    <s v="Description -  This Req has been handled by Sales Team and this is related to Resolve with Buyer"/>
  </r>
  <r>
    <s v="A100"/>
    <s v="AFRA100"/>
    <s v="A100-141"/>
    <d v="2026-01-06T00:00:00"/>
    <d v="2026-01-06T00:00:00"/>
    <s v="90+"/>
    <s v="Africa"/>
    <n v="164"/>
    <n v="4414923"/>
    <s v="PO8856439922"/>
    <s v="SO91162839922"/>
    <s v="51162808912"/>
    <d v="2025-12-23T00:00:00"/>
    <s v="1443616"/>
    <x v="2"/>
    <s v="Resolve with Buyer"/>
    <n v="824.58"/>
    <n v="824.58"/>
    <d v="2026-06-15T00:00:00"/>
    <s v="Sales Team"/>
    <s v="Under Sales Team validation"/>
    <s v="Yes"/>
    <s v="Manager"/>
    <s v="RB"/>
    <n v="100191"/>
    <s v="Dominic Flores"/>
    <n v="100191"/>
    <s v="Dominic Flores"/>
    <n v="11"/>
    <s v="Patrick Hayes"/>
    <s v="Dominic Flores"/>
    <s v="Description -  This Req has been handled by Sales Team and this is related to Resolve with Buyer"/>
  </r>
  <r>
    <s v="A100"/>
    <s v="AFRA100"/>
    <s v="A100-141"/>
    <d v="2026-01-06T00:00:00"/>
    <d v="2026-01-06T00:00:00"/>
    <s v="90+"/>
    <s v="Africa"/>
    <n v="164"/>
    <n v="4414673"/>
    <s v="PO4421481151"/>
    <s v="SO91159981151"/>
    <s v="51159903191"/>
    <d v="2025-12-24T00:00:00"/>
    <s v="1443616"/>
    <x v="2"/>
    <s v="Resolve with Buyer"/>
    <n v="733.32"/>
    <n v="733.32"/>
    <d v="2026-06-15T00:00:00"/>
    <s v="Sales Team"/>
    <s v="Under Sales Team validation"/>
    <s v="Yes"/>
    <s v="Manager"/>
    <s v="RB"/>
    <n v="100201"/>
    <s v="Aiden Harper"/>
    <n v="100201"/>
    <s v="Aiden Harper"/>
    <n v="11"/>
    <s v="Patrick Hayes"/>
    <s v="Aiden Harper"/>
    <s v="Description -  This Req has been handled by Sales Team and this is related to Resolve with Buyer"/>
  </r>
  <r>
    <s v="A100"/>
    <s v="AFRA100"/>
    <s v="A100-141"/>
    <d v="2026-01-07T00:00:00"/>
    <d v="2026-01-29T00:00:00"/>
    <s v="90+"/>
    <s v="Africa"/>
    <n v="163"/>
    <n v="4414623"/>
    <s v="PO4421587296"/>
    <s v="SO91160087296"/>
    <s v="51160027536"/>
    <d v="2025-10-07T00:00:00"/>
    <s v="1129814"/>
    <x v="6"/>
    <s v="Lack of Response"/>
    <n v="439.71"/>
    <n v="439.71"/>
    <d v="2026-06-18T00:00:00"/>
    <s v="Sales Team"/>
    <s v="Under Sales Team validation"/>
    <s v="Yes"/>
    <s v="Manager"/>
    <s v="LR"/>
    <n v="100231"/>
    <s v="Jackson Norris"/>
    <n v="100231"/>
    <s v="Jackson Norris"/>
    <n v="8"/>
    <s v="Patrick Hayes"/>
    <s v="Jackson Norris"/>
    <s v="Description -  This Req has been handled by Sales Team and this is related to Lack of Response"/>
  </r>
  <r>
    <s v="A100"/>
    <s v="AFRA100"/>
    <s v="A100-141"/>
    <d v="2026-01-22T00:00:00"/>
    <d v="2026-01-26T00:00:00"/>
    <s v="90+"/>
    <s v="Africa"/>
    <n v="148"/>
    <n v="4420743"/>
    <s v="PO4535737349"/>
    <s v="SO91159537349"/>
    <s v="51159596209"/>
    <d v="2026-01-20T00:00:00"/>
    <s v="1443616"/>
    <x v="2"/>
    <s v="Resolve with Buyer"/>
    <n v="265"/>
    <n v="265"/>
    <d v="2026-06-15T00:00:00"/>
    <s v="Sales Team"/>
    <s v="Under Sales Team validation"/>
    <s v="Yes"/>
    <s v="Manager"/>
    <s v="RB"/>
    <n v="100241"/>
    <s v="Leah Pearson"/>
    <n v="100241"/>
    <s v="Leah Pearson"/>
    <n v="11"/>
    <s v="Patrick Hayes"/>
    <s v="Leah Pearson"/>
    <s v="Description -  This Req has been handled by Sales Team and this is related to Resolve with Buyer"/>
  </r>
  <r>
    <s v="A100"/>
    <s v="AFRA100"/>
    <s v="A100-141"/>
    <d v="2026-01-22T00:00:00"/>
    <d v="2026-01-26T00:00:00"/>
    <s v="90+"/>
    <s v="Africa"/>
    <n v="148"/>
    <n v="4417363"/>
    <s v="PO1150078578"/>
    <s v="SO91158978578"/>
    <s v="51158927978"/>
    <d v="2026-01-20T00:00:00"/>
    <s v="1443616"/>
    <x v="2"/>
    <s v="Resolve with Buyer"/>
    <n v="265"/>
    <n v="265"/>
    <d v="2026-06-15T00:00:00"/>
    <s v="Sales Team"/>
    <s v="Under Sales Team validation"/>
    <s v="Yes"/>
    <s v="Manager"/>
    <s v="RB"/>
    <n v="100271"/>
    <s v="Brooke Palmer"/>
    <n v="100271"/>
    <s v="Brooke Palmer"/>
    <n v="11"/>
    <s v="Patrick Hayes"/>
    <s v="Brooke Palmer"/>
    <s v="Description -  This Req has been handled by Sales Team and this is related to Resolve with Buyer"/>
  </r>
  <r>
    <s v="A100"/>
    <s v="AFRA100"/>
    <s v="A100-141"/>
    <d v="2026-01-30T00:00:00"/>
    <d v="2026-01-30T00:00:00"/>
    <s v="90+"/>
    <s v="Africa"/>
    <n v="140"/>
    <n v="4429422"/>
    <s v="PO551518127"/>
    <s v="SO91164918127"/>
    <s v="51164994047"/>
    <d v="2025-10-10T00:00:00"/>
    <s v="1040246"/>
    <x v="7"/>
    <s v="Pricing Error"/>
    <n v="33578"/>
    <n v="33578"/>
    <d v="2026-06-22T00:00:00"/>
    <s v="Sales Team"/>
    <s v="Under Sales Team validation"/>
    <s v="No"/>
    <s v="N/A"/>
    <s v="PE"/>
    <n v="100281"/>
    <s v="Grace Whitaker"/>
    <n v="100281"/>
    <s v="Grace Whitaker"/>
    <n v="4"/>
    <s v="Patrick Hayes"/>
    <s v="Grace Whitaker"/>
    <s v="Description -  This Req has been handled by Sales Team and this is related to Pricing Error"/>
  </r>
  <r>
    <s v="A100"/>
    <s v="AFRA100"/>
    <s v="A100-141"/>
    <d v="2026-01-31T00:00:00"/>
    <d v="2026-01-31T00:00:00"/>
    <s v="90+"/>
    <s v="Africa"/>
    <n v="139"/>
    <n v="4429452"/>
    <s v="PO4421541814"/>
    <s v="SO91160341814"/>
    <s v="51160352914"/>
    <d v="2026-01-30T00:00:00"/>
    <s v="1355937"/>
    <x v="0"/>
    <s v="Unknown Deduction"/>
    <n v="142.93"/>
    <n v="142.93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6-01-31T00:00:00"/>
    <d v="2026-01-31T00:00:00"/>
    <s v="90+"/>
    <s v="Africa"/>
    <n v="139"/>
    <n v="4430122"/>
    <s v="PO4421483043"/>
    <s v="SO91160083043"/>
    <s v="51160030153"/>
    <d v="2026-01-30T00:00:00"/>
    <s v="1355937"/>
    <x v="0"/>
    <s v="Unknown Deduction"/>
    <n v="142.93"/>
    <n v="142.93"/>
    <d v="2026-06-22T00:00:00"/>
    <s v="Credit Team"/>
    <s v="Under Credit Team validation"/>
    <s v="No"/>
    <s v="N/A"/>
    <s v="UN"/>
    <n v="100261"/>
    <s v="Taylor Jennings"/>
    <n v="100191"/>
    <s v="Dominic Flores"/>
    <n v="4"/>
    <s v="Patrick Hayes"/>
    <s v="Dominic Flores"/>
    <s v="Description -  This Req has been handled by Credit Team and this is related to Unknown Deduction"/>
  </r>
  <r>
    <s v="A100"/>
    <s v="AFRA100"/>
    <s v="A100-141"/>
    <d v="2026-01-31T00:00:00"/>
    <d v="2026-01-31T00:00:00"/>
    <s v="90+"/>
    <s v="Africa"/>
    <n v="139"/>
    <n v="4430102"/>
    <s v="PO4421524272"/>
    <s v="SO91160324272"/>
    <s v="51160346502"/>
    <d v="2026-01-30T00:00:00"/>
    <s v="1355937"/>
    <x v="0"/>
    <s v="Unknown Deduction"/>
    <n v="142.93"/>
    <n v="142.93"/>
    <d v="2026-06-22T00:00:00"/>
    <s v="Credit Team"/>
    <s v="Under Credit Team validation"/>
    <s v="No"/>
    <s v="N/A"/>
    <s v="UN"/>
    <n v="100101"/>
    <s v="James Mitchell"/>
    <n v="100111"/>
    <s v="Andrew Ross"/>
    <n v="4"/>
    <s v="Patrick Hayes"/>
    <s v="Andrew Ross"/>
    <s v="Description -  This Req has been handled by Credit Team and this is related to Unknown Deduction"/>
  </r>
  <r>
    <s v="A100"/>
    <s v="AFRA100"/>
    <s v="A100-141"/>
    <d v="2026-02-05T00:00:00"/>
    <d v="2026-02-05T00:00:00"/>
    <s v="90+"/>
    <s v="Africa"/>
    <n v="134"/>
    <n v="4432801"/>
    <s v="PO4291085722"/>
    <s v="SO91162885722"/>
    <s v="51162890242"/>
    <d v="2025-10-31T00:00:00"/>
    <s v="1040246"/>
    <x v="7"/>
    <s v="No Receiver"/>
    <n v="7100.8"/>
    <n v="7100.8"/>
    <d v="2026-06-22T00:00:00"/>
    <s v="Sales Team"/>
    <s v="Under Sales Team validation"/>
    <s v="No"/>
    <s v="N/A"/>
    <s v="NR"/>
    <n v="100111"/>
    <s v="Andrew Ross"/>
    <n v="100111"/>
    <s v="Andrew Ross"/>
    <n v="4"/>
    <s v="Patrick Hayes"/>
    <s v="Andrew Ross"/>
    <s v="Description -  This Req has been handled by Sales Team and this is related to No Receiver"/>
  </r>
  <r>
    <s v="A100"/>
    <s v="AFRA100"/>
    <s v="A100-141"/>
    <d v="2026-02-06T00:00:00"/>
    <d v="2026-02-06T00:00:00"/>
    <s v="90+"/>
    <s v="Africa"/>
    <n v="133"/>
    <n v="4432781"/>
    <s v="PO4420509409"/>
    <s v="SO91152409409"/>
    <s v="51152435099"/>
    <d v="2026-01-13T00:00:00"/>
    <s v="1443616"/>
    <x v="2"/>
    <s v="Resolve with Buyer"/>
    <n v="274.86"/>
    <n v="274.86"/>
    <d v="2026-06-15T00:00:00"/>
    <s v="Sales Team"/>
    <s v="Under Sales Team validation"/>
    <s v="Yes"/>
    <s v="Manager"/>
    <s v="RB"/>
    <n v="100121"/>
    <s v="Olivia Jenkins"/>
    <n v="100121"/>
    <s v="Olivia Jenkins"/>
    <n v="11"/>
    <s v="Patrick Hayes"/>
    <s v="Olivia Jenkins"/>
    <s v="Description -  This Req has been handled by Sales Team and this is related to Resolve with Buyer"/>
  </r>
  <r>
    <s v="A100"/>
    <s v="AFRA100"/>
    <s v="A100-141"/>
    <d v="2026-02-18T00:00:00"/>
    <d v="2026-02-27T00:00:00"/>
    <s v="90+"/>
    <s v="Africa"/>
    <n v="121"/>
    <n v="4436561"/>
    <s v="PO1447488401"/>
    <s v="SO91139188401"/>
    <s v="51139144741"/>
    <d v="2026-02-17T00:00:00"/>
    <s v="1443616"/>
    <x v="2"/>
    <s v="Resolve with Buyer"/>
    <n v="265"/>
    <n v="265"/>
    <d v="2026-06-15T00:00:00"/>
    <s v="Sales Team"/>
    <s v="Under Sales Team validation"/>
    <s v="Yes"/>
    <s v="Manager"/>
    <s v="RB"/>
    <n v="100151"/>
    <s v="Mason Reynolds"/>
    <n v="100151"/>
    <s v="Mason Reynolds"/>
    <n v="11"/>
    <s v="Patrick Hayes"/>
    <s v="Mason Reynolds"/>
    <s v="Description -  This Req has been handled by Sales Team and this is related to Resolve with Buyer"/>
  </r>
  <r>
    <s v="A100"/>
    <s v="AFRA100"/>
    <s v="A100-141"/>
    <d v="2026-02-18T00:00:00"/>
    <d v="2026-06-02T00:00:00"/>
    <s v="90+"/>
    <s v="Africa"/>
    <n v="121"/>
    <n v="4435551"/>
    <s v="PO4600053317"/>
    <s v="SO91164953317"/>
    <s v="51164901197"/>
    <d v="2025-12-30T00:00:00"/>
    <s v="1023247"/>
    <x v="1"/>
    <s v="No Receiver"/>
    <n v="312"/>
    <n v="312"/>
    <d v="2026-06-15T00:00:00"/>
    <s v="Sales Team"/>
    <s v="Under Sales Team validation"/>
    <s v="Yes"/>
    <s v="Manager"/>
    <s v="NR"/>
    <n v="100161"/>
    <s v="Connor Bishop"/>
    <n v="100161"/>
    <s v="Connor Bishop"/>
    <n v="11"/>
    <s v="Patrick Hayes"/>
    <s v="Connor Bishop"/>
    <s v="Description -  This Req has been handled by Sales Team and this is related to No Receiver"/>
  </r>
  <r>
    <s v="A100"/>
    <s v="AFRA100"/>
    <s v="A100-141"/>
    <d v="2026-02-20T00:00:00"/>
    <d v="2026-02-20T00:00:00"/>
    <s v="90+"/>
    <s v="Africa"/>
    <n v="119"/>
    <n v="4438491"/>
    <s v="PO4951212981"/>
    <s v="SO91162112981"/>
    <s v="51162165401"/>
    <d v="2026-01-27T00:00:00"/>
    <s v="1443616"/>
    <x v="2"/>
    <s v="Freight"/>
    <n v="16875.28"/>
    <n v="16875.28"/>
    <d v="2026-06-15T00:00:00"/>
    <s v="Materials Team"/>
    <s v="Under Materials Team validation"/>
    <s v="Yes"/>
    <s v="Manager"/>
    <s v="FR"/>
    <n v="100251"/>
    <s v="Paige Sullivan"/>
    <n v="100161"/>
    <s v="Connor Bishop"/>
    <n v="11"/>
    <s v="Patrick Hayes"/>
    <s v="Connor Bishop"/>
    <s v="Description -  This Req has been handled by Materials Team and this is related to Freight"/>
  </r>
  <r>
    <s v="A100"/>
    <s v="AFRA100"/>
    <s v="A100-141"/>
    <d v="2026-02-20T00:00:00"/>
    <d v="2026-02-20T00:00:00"/>
    <s v="90+"/>
    <s v="Africa"/>
    <n v="119"/>
    <n v="4438501"/>
    <s v="PO4951254210"/>
    <s v="SO91162154210"/>
    <s v="51162158120"/>
    <d v="2026-01-30T00:00:00"/>
    <s v="1443616"/>
    <x v="2"/>
    <s v="No Receiver"/>
    <n v="21850.93"/>
    <n v="21850.93"/>
    <d v="2026-06-15T00:00:00"/>
    <s v="Sales Team"/>
    <s v="Under Sales Team validation"/>
    <s v="Yes"/>
    <s v="Manager"/>
    <s v="NR"/>
    <n v="100191"/>
    <s v="Dominic Flores"/>
    <n v="100191"/>
    <s v="Dominic Flores"/>
    <n v="11"/>
    <s v="Patrick Hayes"/>
    <s v="Dominic Flores"/>
    <s v="Description -  This Req has been handled by Sales Team and this is related to No Receiver"/>
  </r>
  <r>
    <s v="A100"/>
    <s v="AFRA100"/>
    <s v="A100-141"/>
    <d v="2026-02-20T00:00:00"/>
    <d v="2026-02-20T00:00:00"/>
    <s v="90+"/>
    <s v="Africa"/>
    <n v="119"/>
    <n v="4438451"/>
    <s v="PO4421695439"/>
    <s v="SO91161295439"/>
    <s v="51161269619"/>
    <d v="2026-02-05T00:00:00"/>
    <s v="1443616"/>
    <x v="2"/>
    <s v="No Receiver"/>
    <n v="54557.5"/>
    <n v="54557.5"/>
    <d v="2026-06-15T00:00:00"/>
    <s v="Sales Team"/>
    <s v="Under Sales Team validation"/>
    <s v="Yes"/>
    <s v="Manager"/>
    <s v="NR"/>
    <n v="100201"/>
    <s v="Aiden Harper"/>
    <n v="100201"/>
    <s v="Aiden Harper"/>
    <n v="11"/>
    <s v="Patrick Hayes"/>
    <s v="Aiden Harper"/>
    <s v="Description -  This Req has been handled by Sales Team and this is related to No Receiver"/>
  </r>
  <r>
    <s v="A100"/>
    <s v="AFRA100"/>
    <s v="A100-141"/>
    <d v="2026-02-20T00:00:00"/>
    <d v="2026-05-26T00:00:00"/>
    <s v="90+"/>
    <s v="Africa"/>
    <n v="119"/>
    <n v="4438121"/>
    <s v="PO05-VA36668"/>
    <s v="SO91163736668"/>
    <s v="51163792498"/>
    <d v="2026-02-03T00:00:00"/>
    <s v="1443616"/>
    <x v="2"/>
    <s v="Freight"/>
    <n v="341.46"/>
    <n v="24576.959999999999"/>
    <d v="2026-06-15T00:00:00"/>
    <s v="Materials Team"/>
    <s v="Under Materials Team validation"/>
    <s v="Yes"/>
    <s v="Manager"/>
    <s v="FR"/>
    <n v="100131"/>
    <s v="Emily Coleman"/>
    <n v="100111"/>
    <s v="Andrew Ross"/>
    <n v="11"/>
    <s v="Patrick Hayes"/>
    <s v="Andrew Ross"/>
    <s v="Description -  This Req has been handled by Materials Team and this is related to Freight"/>
  </r>
  <r>
    <s v="A100"/>
    <s v="AFRA100"/>
    <s v="A100-141"/>
    <d v="2026-02-25T00:00:00"/>
    <d v="2026-02-25T00:00:00"/>
    <s v="90+"/>
    <s v="Africa"/>
    <n v="114"/>
    <n v="4436211"/>
    <s v="PO4434013874"/>
    <s v="SO91161013874"/>
    <s v="51161079424"/>
    <d v="2025-08-28T00:00:00"/>
    <s v="1040246"/>
    <x v="7"/>
    <s v="Wrong PO Number"/>
    <n v="3172.83"/>
    <n v="3172.83"/>
    <d v="2026-06-22T00:00:00"/>
    <s v="Sales Team"/>
    <s v="Under Sales Team validation"/>
    <s v="No"/>
    <s v="N/A"/>
    <s v="WP"/>
    <n v="100231"/>
    <s v="Jackson Norris"/>
    <n v="100231"/>
    <s v="Jackson Norris"/>
    <n v="4"/>
    <s v="Patrick Hayes"/>
    <s v="Jackson Norris"/>
    <s v="Description -  This Req has been handled by Sales Team and this is related to Wrong PO Number"/>
  </r>
  <r>
    <s v="A100"/>
    <s v="AFRA100"/>
    <s v="A100-141"/>
    <d v="2026-02-25T00:00:00"/>
    <d v="2026-02-25T00:00:00"/>
    <s v="90+"/>
    <s v="Africa"/>
    <n v="114"/>
    <n v="4438401"/>
    <s v="PO4421655103"/>
    <s v="SO91161155103"/>
    <s v="51161109013"/>
    <d v="2025-10-29T00:00:00"/>
    <s v="1040246"/>
    <x v="7"/>
    <s v="Wrong PO Number"/>
    <n v="736.85"/>
    <n v="736.85"/>
    <d v="2026-06-22T00:00:00"/>
    <s v="Sales Team"/>
    <s v="Under Sales Team validation"/>
    <s v="No"/>
    <s v="N/A"/>
    <s v="WP"/>
    <n v="100241"/>
    <s v="Leah Pearson"/>
    <n v="100241"/>
    <s v="Leah Pearson"/>
    <n v="4"/>
    <s v="Patrick Hayes"/>
    <s v="Leah Pearson"/>
    <s v="Description -  This Req has been handled by Sales Team and this is related to Wrong PO Number"/>
  </r>
  <r>
    <s v="A100"/>
    <s v="AFRA100"/>
    <s v="A100-141"/>
    <d v="2026-02-27T00:00:00"/>
    <d v="2026-02-27T00:00:00"/>
    <s v="90+"/>
    <s v="Africa"/>
    <n v="112"/>
    <n v="4438869"/>
    <s v="PO2000084935"/>
    <s v="SO91163784935"/>
    <s v="51163768145"/>
    <d v="2026-02-09T00:00:00"/>
    <s v="1443616"/>
    <x v="2"/>
    <s v="Resolve with Buyer"/>
    <n v="21053"/>
    <n v="21053"/>
    <d v="2026-06-15T00:00:00"/>
    <s v="Sales Team"/>
    <s v="Under Sales Team validation"/>
    <s v="Yes"/>
    <s v="Manager"/>
    <s v="RB"/>
    <n v="100271"/>
    <s v="Brooke Palmer"/>
    <n v="100271"/>
    <s v="Brooke Palmer"/>
    <n v="11"/>
    <s v="Patrick Hayes"/>
    <s v="Brooke Palmer"/>
    <s v="Description -  This Req has been handled by Sales Team and this is related to Resolve with Buyer"/>
  </r>
  <r>
    <s v="A100"/>
    <s v="AFRA100"/>
    <s v="A100-141"/>
    <d v="2026-02-27T00:00:00"/>
    <d v="2026-06-08T00:00:00"/>
    <s v="90+"/>
    <s v="Africa"/>
    <n v="112"/>
    <n v="4438737"/>
    <s v="PO1000126164"/>
    <s v="SO91163426164"/>
    <s v="51163465874"/>
    <d v="2026-02-11T00:00:00"/>
    <s v="1443616"/>
    <x v="2"/>
    <s v="Pricing Error"/>
    <n v="214620"/>
    <n v="2184840"/>
    <d v="2026-06-15T00:00:00"/>
    <s v="Sales Team"/>
    <s v="Under Sales Team validation"/>
    <s v="No"/>
    <s v="N/A"/>
    <s v="PE"/>
    <n v="100281"/>
    <s v="Grace Whitaker"/>
    <n v="100281"/>
    <s v="Grace Whitaker"/>
    <n v="11"/>
    <s v="Patrick Hayes"/>
    <s v="Grace Whitaker"/>
    <s v="Description -  This Req has been handled by Sales Team and this is related to Pricing Error"/>
  </r>
  <r>
    <s v="A100"/>
    <s v="AFRA100"/>
    <s v="A100-141"/>
    <d v="2026-02-27T00:00:00"/>
    <d v="2026-04-02T00:00:00"/>
    <s v="90+"/>
    <s v="Africa"/>
    <n v="112"/>
    <n v="4440127"/>
    <s v="PO1840249851"/>
    <s v="SO91162749851"/>
    <s v="51162704321"/>
    <d v="2025-12-29T00:00:00"/>
    <s v="1394929"/>
    <x v="8"/>
    <s v="Resolve with Buyer"/>
    <n v="276.91000000000003"/>
    <n v="276.91000000000003"/>
    <d v="2026-05-26T00:00:00"/>
    <s v="Sales Team"/>
    <s v="Under Sales Team validation"/>
    <s v="No"/>
    <s v="N/A"/>
    <s v="RB"/>
    <n v="100111"/>
    <s v="Andrew Ross"/>
    <n v="100111"/>
    <s v="Andrew Ross"/>
    <n v="31"/>
    <s v="Patrick Hayes"/>
    <s v="Andrew Ross"/>
    <s v="Description -  This Req has been handled by Sales Team and this is related to Resolve with Buyer"/>
  </r>
  <r>
    <s v="A100"/>
    <s v="AFRA100"/>
    <s v="A100-141"/>
    <d v="2026-03-05T00:00:00"/>
    <d v="2026-03-18T00:00:00"/>
    <s v="90+"/>
    <s v="Africa"/>
    <n v="106"/>
    <n v="4442984"/>
    <s v="PO8181630629"/>
    <s v="SO91162330629"/>
    <s v="51162307479"/>
    <d v="2025-12-04T00:00:00"/>
    <s v="1200360"/>
    <x v="5"/>
    <s v="Unknown Deduction"/>
    <n v="136"/>
    <n v="1007.95"/>
    <d v="2026-03-10T00:00:00"/>
    <s v="Credit Team"/>
    <s v="Under Credit Team validation"/>
    <s v="No"/>
    <s v="N/A"/>
    <s v="UN"/>
    <n v="100141"/>
    <s v="Liam Matthews"/>
    <n v="100121"/>
    <s v="Olivia Jenkins"/>
    <n v="108"/>
    <s v="Patrick Hayes"/>
    <s v="Olivia Jenkins"/>
    <s v="Description -  This Req has been handled by Credit Team and this is related to Unknown Deduction"/>
  </r>
  <r>
    <s v="A100"/>
    <s v="AFRA100"/>
    <s v="A100-141"/>
    <d v="2026-03-09T00:00:00"/>
    <d v="2026-03-09T00:00:00"/>
    <s v="90+"/>
    <s v="Africa"/>
    <n v="102"/>
    <n v="4444333"/>
    <s v="PO4951237667"/>
    <s v="SO91162237667"/>
    <s v="51162262627"/>
    <d v="2026-02-13T00:00:00"/>
    <s v="1443616"/>
    <x v="2"/>
    <s v="Freight"/>
    <n v="27522.81"/>
    <n v="27522.81"/>
    <d v="2026-06-15T00:00:00"/>
    <s v="Materials Team"/>
    <s v="Under Materials Team validation"/>
    <s v="Yes"/>
    <s v="Manager"/>
    <s v="FR"/>
    <n v="100171"/>
    <s v="Sophia Turner"/>
    <n v="100121"/>
    <s v="Olivia Jenkins"/>
    <n v="11"/>
    <s v="Patrick Hayes"/>
    <s v="Olivia Jenkins"/>
    <s v="Description -  This Req has been handled by Materials Team and this is related to Freight"/>
  </r>
  <r>
    <s v="A100"/>
    <s v="AFRA100"/>
    <s v="A100-141"/>
    <d v="2026-03-09T00:00:00"/>
    <d v="2026-03-09T00:00:00"/>
    <s v="90+"/>
    <s v="Africa"/>
    <n v="102"/>
    <n v="4444203"/>
    <s v="PO4951278896"/>
    <s v="SO91162278896"/>
    <s v="51162262646"/>
    <d v="2026-02-18T00:00:00"/>
    <s v="1443616"/>
    <x v="2"/>
    <s v="Resolve with Buyer"/>
    <n v="549.72"/>
    <n v="549.72"/>
    <d v="2026-06-15T00:00:00"/>
    <s v="Sales Team"/>
    <s v="Under Sales Team validation"/>
    <s v="Yes"/>
    <s v="Manager"/>
    <s v="RB"/>
    <n v="100121"/>
    <s v="Olivia Jenkins"/>
    <n v="100121"/>
    <s v="Olivia Jenkins"/>
    <n v="11"/>
    <s v="Patrick Hayes"/>
    <s v="Olivia Jenkins"/>
    <s v="Description -  This Req has been handled by Sales Team and this is related to Resolve with Buyer"/>
  </r>
  <r>
    <s v="A100"/>
    <s v="AFRA100"/>
    <s v="A100-141"/>
    <d v="2026-03-09T00:00:00"/>
    <d v="2026-03-09T00:00:00"/>
    <s v="90+"/>
    <s v="Africa"/>
    <n v="102"/>
    <n v="4444313"/>
    <s v="PO4951220125"/>
    <s v="SO91162220125"/>
    <s v="51162262655"/>
    <d v="2026-02-20T00:00:00"/>
    <s v="1443616"/>
    <x v="2"/>
    <s v="Resolve with Buyer"/>
    <n v="21433.5"/>
    <n v="21433.5"/>
    <d v="2026-06-15T00:00:00"/>
    <s v="Sales Team"/>
    <s v="Under Sales Team validation"/>
    <s v="Yes"/>
    <s v="Manager"/>
    <s v="RB"/>
    <n v="100151"/>
    <s v="Mason Reynolds"/>
    <n v="100151"/>
    <s v="Mason Reynolds"/>
    <n v="11"/>
    <s v="Patrick Hayes"/>
    <s v="Mason Reynolds"/>
    <s v="Description -  This Req has been handled by Sales Team and this is related to Resolve with Buyer"/>
  </r>
  <r>
    <s v="A100"/>
    <s v="AFRA100"/>
    <s v="A100-141"/>
    <d v="2026-03-09T00:00:00"/>
    <d v="2026-03-09T00:00:00"/>
    <s v="90+"/>
    <s v="Africa"/>
    <n v="102"/>
    <n v="4444323"/>
    <s v="PO4951261354"/>
    <s v="SO91162261354"/>
    <s v="51162262664"/>
    <d v="2026-02-20T00:00:00"/>
    <s v="1443616"/>
    <x v="2"/>
    <s v="No Receiver"/>
    <n v="4438.5200000000004"/>
    <n v="4438.5200000000004"/>
    <d v="2026-06-15T00:00:00"/>
    <s v="Sales Team"/>
    <s v="Under Sales Team validation"/>
    <s v="Yes"/>
    <s v="Manager"/>
    <s v="NR"/>
    <n v="100161"/>
    <s v="Connor Bishop"/>
    <n v="100161"/>
    <s v="Connor Bishop"/>
    <n v="11"/>
    <s v="Patrick Hayes"/>
    <s v="Connor Bishop"/>
    <s v="Description -  This Req has been handled by Sales Team and this is related to No Receiver"/>
  </r>
  <r>
    <s v="A100"/>
    <s v="AFRA100"/>
    <s v="A100-141"/>
    <d v="2026-03-09T00:00:00"/>
    <d v="2026-05-26T00:00:00"/>
    <s v="90+"/>
    <s v="Africa"/>
    <n v="102"/>
    <n v="4445932"/>
    <s v="POPO21202583"/>
    <s v="SO95113502583"/>
    <s v="55113555103"/>
    <d v="2026-02-19T00:00:00"/>
    <s v="1443616"/>
    <x v="2"/>
    <s v="Freight"/>
    <n v="343.49"/>
    <n v="36405.089999999997"/>
    <d v="2026-06-15T00:00:00"/>
    <s v="Materials Team"/>
    <s v="Under Materials Team validation"/>
    <s v="Yes"/>
    <s v="Manager"/>
    <s v="FR"/>
    <n v="100211"/>
    <s v="Charles Benson"/>
    <n v="100151"/>
    <s v="Mason Reynolds"/>
    <n v="11"/>
    <s v="Patrick Hayes"/>
    <s v="Mason Reynolds"/>
    <s v="Description -  This Req has been handled by Materials Team and this is related to Freight"/>
  </r>
  <r>
    <s v="A100"/>
    <s v="AFRA100"/>
    <s v="A100-141"/>
    <d v="2026-03-12T00:00:00"/>
    <d v="2026-06-02T00:00:00"/>
    <s v="90+"/>
    <s v="Africa"/>
    <n v="99"/>
    <n v="4558091"/>
    <s v="PO3006012859"/>
    <s v="SO91112112859"/>
    <s v="51112141849"/>
    <d v="2026-03-09T00:00:00"/>
    <s v="1475075"/>
    <x v="9"/>
    <s v="Credit Memo Not Open"/>
    <n v="1173.06"/>
    <n v="1173.06"/>
    <d v="2026-06-15T00:00:00"/>
    <s v="Credit Team"/>
    <s v="Under Credit Team validation"/>
    <s v="No"/>
    <s v="N/A"/>
    <s v="NC"/>
    <n v="100181"/>
    <s v="Ella Bennett"/>
    <n v="100151"/>
    <s v="Mason Reynolds"/>
    <n v="11"/>
    <s v="Patrick Hayes"/>
    <s v="Mason Reynolds"/>
    <s v="Description -  This Req has been handled by Credit Team and this is related to Credit Memo Not Open"/>
  </r>
  <r>
    <s v="A100"/>
    <s v="AFRA100"/>
    <s v="A100-141"/>
    <d v="2026-03-13T00:00:00"/>
    <d v="2026-06-02T00:00:00"/>
    <s v="90+"/>
    <s v="Africa"/>
    <n v="98"/>
    <n v="4560039"/>
    <s v="PO4000001462"/>
    <s v="SO90112801462"/>
    <s v="50112882932"/>
    <d v="2025-11-04T00:00:00"/>
    <s v="1023247"/>
    <x v="1"/>
    <s v="Pricing Error"/>
    <n v="480"/>
    <n v="480"/>
    <d v="2026-06-15T00:00:00"/>
    <s v="Sales Team"/>
    <s v="Under Sales Team validation"/>
    <s v="Yes"/>
    <s v="Manager"/>
    <s v="PE"/>
    <n v="100191"/>
    <s v="Dominic Flores"/>
    <n v="100191"/>
    <s v="Dominic Flores"/>
    <n v="11"/>
    <s v="Patrick Hayes"/>
    <s v="Dominic Flores"/>
    <s v="Description -  This Req has been handled by Sales Team and this is related to Pricing Error"/>
  </r>
  <r>
    <s v="A100"/>
    <s v="AFRA100"/>
    <s v="A100-141"/>
    <d v="2026-03-13T00:00:00"/>
    <d v="2026-05-26T00:00:00"/>
    <s v="90+"/>
    <s v="Africa"/>
    <n v="98"/>
    <n v="4560596"/>
    <s v="PO2448483920"/>
    <s v="SO90112883920"/>
    <s v="50112882930"/>
    <d v="2026-02-26T00:00:00"/>
    <s v="1443616"/>
    <x v="2"/>
    <s v="Freight"/>
    <n v="345.51"/>
    <n v="28205.01"/>
    <d v="2026-06-15T00:00:00"/>
    <s v="Materials Team"/>
    <s v="Under Materials Team validation"/>
    <s v="Yes"/>
    <s v="Manager"/>
    <s v="FR"/>
    <n v="100251"/>
    <s v="Paige Sullivan"/>
    <n v="100161"/>
    <s v="Connor Bishop"/>
    <n v="11"/>
    <s v="Patrick Hayes"/>
    <s v="Connor Bishop"/>
    <s v="Description -  This Req has been handled by Materials Team and this is related to Freight"/>
  </r>
  <r>
    <s v="A100"/>
    <s v="AFRA100"/>
    <s v="A100-141"/>
    <d v="2026-03-17T00:00:00"/>
    <d v="2026-03-17T00:00:00"/>
    <s v="90+"/>
    <s v="Africa"/>
    <n v="94"/>
    <n v="4562266"/>
    <s v="PO4000006714"/>
    <s v="SO90111806714"/>
    <s v="50111827684"/>
    <d v="2026-03-16T00:00:00"/>
    <s v="1443616"/>
    <x v="2"/>
    <s v="Unknown Deduction"/>
    <n v="23.88"/>
    <n v="23.88"/>
    <d v="2026-06-15T00:00:00"/>
    <s v="Credit Team"/>
    <s v="Under Credit Team validation"/>
    <s v="No"/>
    <s v="N/A"/>
    <s v="UN"/>
    <n v="100221"/>
    <s v="Eli Hudson"/>
    <n v="100161"/>
    <s v="Connor Bishop"/>
    <n v="11"/>
    <s v="Patrick Hayes"/>
    <s v="Connor Bishop"/>
    <s v="Description -  This Req has been handled by Credit Team and this is related to Unknown Deduction"/>
  </r>
  <r>
    <s v="A100"/>
    <s v="AFRA100"/>
    <s v="A100-141"/>
    <d v="2026-03-20T00:00:00"/>
    <d v="2026-03-20T00:00:00"/>
    <s v="90+"/>
    <s v="Africa"/>
    <n v="91"/>
    <n v="4588703"/>
    <s v="POC220923469"/>
    <s v="SO91132023469"/>
    <s v="51132028899"/>
    <d v="2026-03-18T00:00:00"/>
    <s v="1355937"/>
    <x v="0"/>
    <s v="Unknown Deduction"/>
    <n v="1871.05"/>
    <n v="1871.05"/>
    <d v="2026-06-22T00:00:00"/>
    <s v="Credit Team"/>
    <s v="Under Credit Team validation"/>
    <s v="No"/>
    <s v="N/A"/>
    <s v="UN"/>
    <n v="100261"/>
    <s v="Taylor Jennings"/>
    <n v="100191"/>
    <s v="Dominic Flores"/>
    <n v="4"/>
    <s v="Patrick Hayes"/>
    <s v="Dominic Flores"/>
    <s v="Description -  This Req has been handled by Credit Team and this is related to Unknown Deduction"/>
  </r>
  <r>
    <s v="A100"/>
    <s v="AFRA100"/>
    <s v="A100-141"/>
    <d v="2026-04-01T00:00:00"/>
    <d v="2026-04-01T00:00:00"/>
    <s v="60+"/>
    <s v="Africa"/>
    <n v="79"/>
    <n v="4618479"/>
    <s v="PO4000034972"/>
    <s v="SO91142334972"/>
    <s v="51142368022"/>
    <d v="2026-03-02T00:00:00"/>
    <s v="1443616"/>
    <x v="2"/>
    <s v="No Receiver"/>
    <n v="307659.39"/>
    <n v="307659.39"/>
    <d v="2026-06-15T00:00:00"/>
    <s v="Sales Team"/>
    <s v="Under Sales Team validation"/>
    <s v="Yes"/>
    <s v="Manager"/>
    <s v="NR"/>
    <n v="100201"/>
    <s v="Aiden Harper"/>
    <n v="100201"/>
    <s v="Aiden Harper"/>
    <n v="11"/>
    <s v="Patrick Hayes"/>
    <s v="Aiden Harper"/>
    <s v="Description -  This Req has been handled by Sales Team and this is related to No Receiver"/>
  </r>
  <r>
    <s v="A100"/>
    <s v="AFRA100"/>
    <s v="A100-141"/>
    <d v="2026-04-01T00:00:00"/>
    <d v="2026-04-01T00:00:00"/>
    <s v="60+"/>
    <s v="Africa"/>
    <n v="79"/>
    <n v="4618757"/>
    <s v="PO4000076201"/>
    <s v="SO91142776201"/>
    <s v="51142703931"/>
    <d v="2026-03-03T00:00:00"/>
    <s v="1443616"/>
    <x v="2"/>
    <s v="No Receiver"/>
    <n v="42840"/>
    <n v="42840"/>
    <d v="2026-06-15T00:00:00"/>
    <s v="Sales Team"/>
    <s v="Under Sales Team validation"/>
    <s v="Yes"/>
    <s v="Manager"/>
    <s v="NR"/>
    <n v="100231"/>
    <s v="Jackson Norris"/>
    <n v="100231"/>
    <s v="Jackson Norris"/>
    <n v="11"/>
    <s v="Patrick Hayes"/>
    <s v="Jackson Norris"/>
    <s v="Description -  This Req has been handled by Sales Team and this is related to No Receiver"/>
  </r>
  <r>
    <s v="A100"/>
    <s v="AFRA100"/>
    <s v="A100-141"/>
    <d v="2026-04-01T00:00:00"/>
    <d v="2026-04-01T00:00:00"/>
    <s v="60+"/>
    <s v="Africa"/>
    <n v="79"/>
    <n v="4619036"/>
    <s v="PO4419217430"/>
    <s v="SO91139217430"/>
    <s v="51139269100"/>
    <d v="2026-03-03T00:00:00"/>
    <s v="1443616"/>
    <x v="2"/>
    <s v="No Receiver"/>
    <n v="14280"/>
    <n v="14280"/>
    <d v="2026-06-15T00:00:00"/>
    <s v="Sales Team"/>
    <s v="Under Sales Team validation"/>
    <s v="Yes"/>
    <s v="Manager"/>
    <s v="NR"/>
    <n v="100241"/>
    <s v="Leah Pearson"/>
    <n v="100241"/>
    <s v="Leah Pearson"/>
    <n v="11"/>
    <s v="Patrick Hayes"/>
    <s v="Leah Pearson"/>
    <s v="Description -  This Req has been handled by Sales Team and this is related to No Receiver"/>
  </r>
  <r>
    <s v="A100"/>
    <s v="AFRA100"/>
    <s v="A100-141"/>
    <d v="2026-04-01T00:00:00"/>
    <d v="2026-04-01T00:00:00"/>
    <s v="60+"/>
    <s v="Africa"/>
    <n v="79"/>
    <n v="4619314"/>
    <s v="PO4716358659"/>
    <s v="SO90115458659"/>
    <s v="50115471639"/>
    <d v="2026-03-03T00:00:00"/>
    <s v="1443616"/>
    <x v="2"/>
    <s v="No Receiver"/>
    <n v="39270"/>
    <n v="39270"/>
    <d v="2026-06-15T00:00:00"/>
    <s v="Sales Team"/>
    <s v="Under Sales Team validation"/>
    <s v="Yes"/>
    <s v="Manager"/>
    <s v="NR"/>
    <n v="100271"/>
    <s v="Brooke Palmer"/>
    <n v="100271"/>
    <s v="Brooke Palmer"/>
    <n v="11"/>
    <s v="Patrick Hayes"/>
    <s v="Brooke Palmer"/>
    <s v="Description -  This Req has been handled by Sales Team and this is related to No Receiver"/>
  </r>
  <r>
    <s v="A100"/>
    <s v="AFRA100"/>
    <s v="A100-141"/>
    <d v="2026-04-06T00:00:00"/>
    <d v="2026-06-18T00:00:00"/>
    <s v="60+"/>
    <s v="Africa"/>
    <n v="74"/>
    <n v="4624601"/>
    <s v="PO4419142010"/>
    <s v="SO91138842010"/>
    <s v="51138899690"/>
    <d v="2025-12-18T00:00:00"/>
    <s v="1599743"/>
    <x v="10"/>
    <s v="Fuel Surcharge"/>
    <n v="17889.060000000001"/>
    <n v="17889.060000000001"/>
    <d v="2026-06-18T00:00:00"/>
    <s v="Materials Team"/>
    <s v="Under Materials Team validation"/>
    <s v="No"/>
    <s v="N/A"/>
    <s v="FSC"/>
    <n v="100131"/>
    <s v="Emily Coleman"/>
    <n v="100111"/>
    <s v="Andrew Ross"/>
    <n v="8"/>
    <s v="Patrick Hayes"/>
    <s v="Andrew Ross"/>
    <s v=""/>
  </r>
  <r>
    <s v="A100"/>
    <s v="AFRA100"/>
    <s v="A100-141"/>
    <d v="2026-04-06T00:00:00"/>
    <d v="2026-06-18T00:00:00"/>
    <s v="60+"/>
    <s v="Africa"/>
    <n v="74"/>
    <n v="4624880"/>
    <s v="PO4417483239"/>
    <s v="SO91139383239"/>
    <s v="51139319869"/>
    <d v="2025-12-31T00:00:00"/>
    <s v="1599743"/>
    <x v="10"/>
    <s v="Fuel Surcharge"/>
    <n v="915.09"/>
    <n v="915.09"/>
    <d v="2026-06-18T00:00:00"/>
    <s v="Materials Team"/>
    <s v="Under Materials Team validation"/>
    <s v="No"/>
    <s v="N/A"/>
    <s v="FSC"/>
    <n v="100171"/>
    <s v="Sophia Turner"/>
    <n v="100121"/>
    <s v="Olivia Jenkins"/>
    <n v="8"/>
    <s v="Patrick Hayes"/>
    <s v="Olivia Jenkins"/>
    <s v=""/>
  </r>
  <r>
    <s v="A100"/>
    <s v="AFRA100"/>
    <s v="A100-141"/>
    <d v="2026-04-11T00:00:00"/>
    <d v="2026-04-16T00:00:00"/>
    <s v="60+"/>
    <s v="Africa"/>
    <n v="69"/>
    <n v="4639629"/>
    <s v="PO4417768376"/>
    <s v="SO91141068376"/>
    <s v="51141065656"/>
    <d v="2026-03-09T00:00:00"/>
    <s v="1355937"/>
    <x v="0"/>
    <s v="Unknown Deduction"/>
    <n v="25.05"/>
    <n v="2260.0500000000002"/>
    <d v="2026-06-22T00:00:00"/>
    <s v="Credit Team"/>
    <s v="Under Credit Team validation"/>
    <s v="No"/>
    <s v="N/A"/>
    <s v="UN"/>
    <n v="100101"/>
    <s v="James Mitchell"/>
    <n v="100111"/>
    <s v="Andrew Ross"/>
    <n v="4"/>
    <s v="Patrick Hayes"/>
    <s v="Andrew Ross"/>
    <s v="Description -  This Req has been handled by Credit Team and this is related to Unknown Deduction"/>
  </r>
  <r>
    <s v="A100"/>
    <s v="AFRA100"/>
    <s v="A100-141"/>
    <d v="2026-04-13T00:00:00"/>
    <d v="2026-04-13T00:00:00"/>
    <s v="60+"/>
    <s v="Africa"/>
    <n v="67"/>
    <n v="4640463"/>
    <s v="PO4417792063"/>
    <s v="SO91139892063"/>
    <s v="51139880723"/>
    <d v="2026-03-03T00:00:00"/>
    <s v="1443616"/>
    <x v="2"/>
    <s v="No Receiver"/>
    <n v="3570"/>
    <n v="3570"/>
    <d v="2026-06-15T00:00:00"/>
    <s v="Sales Team"/>
    <s v="Under Sales Team validation"/>
    <s v="Yes"/>
    <s v="Manager"/>
    <s v="NR"/>
    <n v="100281"/>
    <s v="Grace Whitaker"/>
    <n v="100281"/>
    <s v="Grace Whitaker"/>
    <n v="11"/>
    <s v="Patrick Hayes"/>
    <s v="Grace Whitaker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0742"/>
    <s v="PO4417033292"/>
    <s v="SO91140433292"/>
    <s v="51140498972"/>
    <d v="2026-03-03T00:00:00"/>
    <s v="1443616"/>
    <x v="2"/>
    <s v="No Receiver"/>
    <n v="3570"/>
    <n v="3570"/>
    <d v="2026-06-15T00:00:00"/>
    <s v="Sales Team"/>
    <s v="Under Sales Team validation"/>
    <s v="Yes"/>
    <s v="Manager"/>
    <s v="NR"/>
    <n v="100111"/>
    <s v="Andrew Ross"/>
    <n v="100111"/>
    <s v="Andrew Ross"/>
    <n v="11"/>
    <s v="Patrick Hayes"/>
    <s v="Andrew Ross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1020"/>
    <s v="PO4418174521"/>
    <s v="SO91140774521"/>
    <s v="51140756341"/>
    <d v="2026-03-03T00:00:00"/>
    <s v="1443616"/>
    <x v="2"/>
    <s v="No Receiver"/>
    <n v="21420"/>
    <n v="21420"/>
    <d v="2026-06-15T00:00:00"/>
    <s v="Sales Team"/>
    <s v="Under Sales Team validation"/>
    <s v="Yes"/>
    <s v="Manager"/>
    <s v="NR"/>
    <n v="100121"/>
    <s v="Olivia Jenkins"/>
    <n v="100121"/>
    <s v="Olivia Jenkins"/>
    <n v="11"/>
    <s v="Patrick Hayes"/>
    <s v="Olivia Jenkins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1298"/>
    <s v="PO4417815750"/>
    <s v="SO91140615750"/>
    <s v="51140650860"/>
    <d v="2026-03-03T00:00:00"/>
    <s v="1443616"/>
    <x v="2"/>
    <s v="Resolve with Buyer"/>
    <n v="21420"/>
    <n v="21420"/>
    <d v="2026-06-15T00:00:00"/>
    <s v="Sales Team"/>
    <s v="Under Sales Team validation"/>
    <s v="Yes"/>
    <s v="Manager"/>
    <s v="RB"/>
    <n v="100151"/>
    <s v="Mason Reynolds"/>
    <n v="100151"/>
    <s v="Mason Reynolds"/>
    <n v="11"/>
    <s v="Patrick Hayes"/>
    <s v="Mason Reynolds"/>
    <s v="Description -  This Req has been handled by Sales Team and this is related to Resolve with Buyer"/>
  </r>
  <r>
    <s v="A100"/>
    <s v="AFRA100"/>
    <s v="A100-141"/>
    <d v="2026-04-13T00:00:00"/>
    <d v="2026-04-13T00:00:00"/>
    <s v="60+"/>
    <s v="Africa"/>
    <n v="67"/>
    <n v="4641577"/>
    <s v="PO4418956979"/>
    <s v="SO91141156979"/>
    <s v="51141170629"/>
    <d v="2026-03-03T00:00:00"/>
    <s v="1443616"/>
    <x v="2"/>
    <s v="No Receiver"/>
    <n v="3570"/>
    <n v="3570"/>
    <d v="2026-06-15T00:00:00"/>
    <s v="Sales Team"/>
    <s v="Under Sales Team validation"/>
    <s v="Yes"/>
    <s v="Manager"/>
    <s v="NR"/>
    <n v="100161"/>
    <s v="Connor Bishop"/>
    <n v="100161"/>
    <s v="Connor Bishop"/>
    <n v="11"/>
    <s v="Patrick Hayes"/>
    <s v="Connor Bishop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1855"/>
    <s v="PO4417198208"/>
    <s v="SO91141398208"/>
    <s v="51141333538"/>
    <d v="2026-03-03T00:00:00"/>
    <s v="1443616"/>
    <x v="2"/>
    <s v="No Receiver"/>
    <n v="35700"/>
    <n v="35700"/>
    <d v="2026-06-15T00:00:00"/>
    <s v="Sales Team"/>
    <s v="Under Sales Team validation"/>
    <s v="Yes"/>
    <s v="Manager"/>
    <s v="NR"/>
    <n v="100191"/>
    <s v="Dominic Flores"/>
    <n v="100191"/>
    <s v="Dominic Flores"/>
    <n v="11"/>
    <s v="Patrick Hayes"/>
    <s v="Dominic Flores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2133"/>
    <s v="PO4418939437"/>
    <s v="SO91140639437"/>
    <s v="51140699107"/>
    <d v="2026-03-03T00:00:00"/>
    <s v="1443616"/>
    <x v="2"/>
    <s v="No Receiver"/>
    <n v="17850"/>
    <n v="17850"/>
    <d v="2026-06-15T00:00:00"/>
    <s v="Sales Team"/>
    <s v="Under Sales Team validation"/>
    <s v="Yes"/>
    <s v="Manager"/>
    <s v="NR"/>
    <n v="100201"/>
    <s v="Aiden Harper"/>
    <n v="100201"/>
    <s v="Aiden Harper"/>
    <n v="11"/>
    <s v="Patrick Hayes"/>
    <s v="Aiden Harper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2411"/>
    <s v="PO4417080666"/>
    <s v="SO91140480666"/>
    <s v="51140422056"/>
    <d v="2026-03-03T00:00:00"/>
    <s v="1443616"/>
    <x v="2"/>
    <s v="Resolve with Buyer"/>
    <n v="28560"/>
    <n v="28560"/>
    <d v="2026-06-15T00:00:00"/>
    <s v="Sales Team"/>
    <s v="Under Sales Team validation"/>
    <s v="Yes"/>
    <s v="Manager"/>
    <s v="RB"/>
    <n v="100231"/>
    <s v="Jackson Norris"/>
    <n v="100231"/>
    <s v="Jackson Norris"/>
    <n v="11"/>
    <s v="Patrick Hayes"/>
    <s v="Jackson Norris"/>
    <s v="Description -  This Req has been handled by Sales Team and this is related to Resolve with Buyer"/>
  </r>
  <r>
    <s v="A100"/>
    <s v="AFRA100"/>
    <s v="A100-141"/>
    <d v="2026-04-13T00:00:00"/>
    <d v="2026-04-13T00:00:00"/>
    <s v="60+"/>
    <s v="Africa"/>
    <n v="67"/>
    <n v="4642690"/>
    <s v="PO4417621895"/>
    <s v="SO91141121895"/>
    <s v="51141124605"/>
    <d v="2026-03-03T00:00:00"/>
    <s v="1443616"/>
    <x v="2"/>
    <s v="No Receiver"/>
    <n v="17850"/>
    <n v="17850"/>
    <d v="2026-06-15T00:00:00"/>
    <s v="Sales Team"/>
    <s v="Under Sales Team validation"/>
    <s v="Yes"/>
    <s v="Manager"/>
    <s v="NR"/>
    <n v="100241"/>
    <s v="Leah Pearson"/>
    <n v="100241"/>
    <s v="Leah Pearson"/>
    <n v="11"/>
    <s v="Patrick Hayes"/>
    <s v="Leah Pearson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2968"/>
    <s v="PO4417063124"/>
    <s v="SO91141263124"/>
    <s v="51141221514"/>
    <d v="2026-03-03T00:00:00"/>
    <s v="1443616"/>
    <x v="2"/>
    <s v="No Receiver"/>
    <n v="7140"/>
    <n v="7140"/>
    <d v="2026-06-15T00:00:00"/>
    <s v="Sales Team"/>
    <s v="Under Sales Team validation"/>
    <s v="Yes"/>
    <s v="Manager"/>
    <s v="NR"/>
    <n v="100271"/>
    <s v="Brooke Palmer"/>
    <n v="100271"/>
    <s v="Brooke Palmer"/>
    <n v="11"/>
    <s v="Patrick Hayes"/>
    <s v="Brooke Palmer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3246"/>
    <s v="PO4417704353"/>
    <s v="SO91139804353"/>
    <s v="51139880693"/>
    <d v="2026-03-03T00:00:00"/>
    <s v="1443616"/>
    <x v="2"/>
    <s v="No Receiver"/>
    <n v="17850"/>
    <n v="17850"/>
    <d v="2026-06-15T00:00:00"/>
    <s v="Sales Team"/>
    <s v="Under Sales Team validation"/>
    <s v="Yes"/>
    <s v="Manager"/>
    <s v="NR"/>
    <n v="100281"/>
    <s v="Grace Whitaker"/>
    <n v="100281"/>
    <s v="Grace Whitaker"/>
    <n v="11"/>
    <s v="Patrick Hayes"/>
    <s v="Grace Whitaker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3525"/>
    <s v="PO4418645582"/>
    <s v="SO91141145582"/>
    <s v="51141124582"/>
    <d v="2026-03-03T00:00:00"/>
    <s v="1443616"/>
    <x v="2"/>
    <s v="No Receiver"/>
    <n v="10710"/>
    <n v="10710"/>
    <d v="2026-06-15T00:00:00"/>
    <s v="Sales Team"/>
    <s v="Under Sales Team validation"/>
    <s v="Yes"/>
    <s v="Manager"/>
    <s v="NR"/>
    <n v="100111"/>
    <s v="Andrew Ross"/>
    <n v="100111"/>
    <s v="Andrew Ross"/>
    <n v="11"/>
    <s v="Patrick Hayes"/>
    <s v="Andrew Ross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3803"/>
    <s v="PO4417886811"/>
    <s v="SO91140286811"/>
    <s v="51140217471"/>
    <d v="2026-03-03T00:00:00"/>
    <s v="1443616"/>
    <x v="2"/>
    <s v="No Receiver"/>
    <n v="3570"/>
    <n v="3570"/>
    <d v="2026-06-15T00:00:00"/>
    <s v="Sales Team"/>
    <s v="Under Sales Team validation"/>
    <s v="Yes"/>
    <s v="Manager"/>
    <s v="NR"/>
    <n v="100121"/>
    <s v="Olivia Jenkins"/>
    <n v="100121"/>
    <s v="Olivia Jenkins"/>
    <n v="11"/>
    <s v="Patrick Hayes"/>
    <s v="Olivia Jenkins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4081"/>
    <s v="PO4417128040"/>
    <s v="SO91141228040"/>
    <s v="51141221580"/>
    <d v="2026-03-03T00:00:00"/>
    <s v="1443616"/>
    <x v="2"/>
    <s v="No Receiver"/>
    <n v="14280"/>
    <n v="14280"/>
    <d v="2026-06-15T00:00:00"/>
    <s v="Sales Team"/>
    <s v="Under Sales Team validation"/>
    <s v="Yes"/>
    <s v="Manager"/>
    <s v="NR"/>
    <n v="100151"/>
    <s v="Mason Reynolds"/>
    <n v="100151"/>
    <s v="Mason Reynolds"/>
    <n v="11"/>
    <s v="Patrick Hayes"/>
    <s v="Mason Reynolds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4359"/>
    <s v="PO4417869269"/>
    <s v="SO91141169269"/>
    <s v="51141103759"/>
    <d v="2026-03-03T00:00:00"/>
    <s v="1443616"/>
    <x v="2"/>
    <s v="No Receiver"/>
    <n v="14280"/>
    <n v="14280"/>
    <d v="2026-06-15T00:00:00"/>
    <s v="Sales Team"/>
    <s v="Under Sales Team validation"/>
    <s v="Yes"/>
    <s v="Manager"/>
    <s v="NR"/>
    <n v="100161"/>
    <s v="Connor Bishop"/>
    <n v="100161"/>
    <s v="Connor Bishop"/>
    <n v="11"/>
    <s v="Patrick Hayes"/>
    <s v="Connor Bishop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4638"/>
    <s v="PO6714210498"/>
    <s v="SO90115610498"/>
    <s v="50115671428"/>
    <d v="2026-03-04T00:00:00"/>
    <s v="1443616"/>
    <x v="2"/>
    <s v="No Receiver"/>
    <n v="35700"/>
    <n v="35700"/>
    <d v="2026-06-15T00:00:00"/>
    <s v="Sales Team"/>
    <s v="Under Sales Team validation"/>
    <s v="Yes"/>
    <s v="Manager"/>
    <s v="NR"/>
    <n v="100191"/>
    <s v="Dominic Flores"/>
    <n v="100191"/>
    <s v="Dominic Flores"/>
    <n v="11"/>
    <s v="Patrick Hayes"/>
    <s v="Dominic Flores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4916"/>
    <s v="PO4417051727"/>
    <s v="SO91140951727"/>
    <s v="51140933487"/>
    <d v="2026-03-04T00:00:00"/>
    <s v="1443616"/>
    <x v="2"/>
    <s v="No Receiver"/>
    <n v="3570"/>
    <n v="3570"/>
    <d v="2026-06-15T00:00:00"/>
    <s v="Sales Team"/>
    <s v="Under Sales Team validation"/>
    <s v="Yes"/>
    <s v="Manager"/>
    <s v="NR"/>
    <n v="100201"/>
    <s v="Aiden Harper"/>
    <n v="100201"/>
    <s v="Aiden Harper"/>
    <n v="11"/>
    <s v="Patrick Hayes"/>
    <s v="Aiden Harper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5194"/>
    <s v="PO3006092957"/>
    <s v="SO91145192956"/>
    <s v="51145127686"/>
    <d v="2026-03-04T00:00:00"/>
    <s v="1443616"/>
    <x v="2"/>
    <s v="No Receiver"/>
    <n v="21420"/>
    <n v="21420"/>
    <d v="2026-06-15T00:00:00"/>
    <s v="Sales Team"/>
    <s v="Under Sales Team validation"/>
    <s v="Yes"/>
    <s v="Manager"/>
    <s v="NR"/>
    <n v="100231"/>
    <s v="Jackson Norris"/>
    <n v="100231"/>
    <s v="Jackson Norris"/>
    <n v="11"/>
    <s v="Patrick Hayes"/>
    <s v="Jackson Norris"/>
    <s v="Description -  This Req has been handled by Sales Team and this is related to No Receiver"/>
  </r>
  <r>
    <s v="A100"/>
    <s v="AFRA100"/>
    <s v="A100-141"/>
    <d v="2026-04-13T00:00:00"/>
    <d v="2026-06-16T00:00:00"/>
    <s v="60+"/>
    <s v="Africa"/>
    <n v="67"/>
    <n v="4645473"/>
    <s v="PO8036834185"/>
    <s v="SO90115834185"/>
    <s v="50115803685"/>
    <d v="2026-03-06T00:00:00"/>
    <s v="1675695"/>
    <x v="11"/>
    <s v="Overshipped PO"/>
    <n v="3407.98"/>
    <n v="3407.98"/>
    <d v="2026-06-22T00:00:00"/>
    <s v="Materials Team"/>
    <s v="Under Materials Team validation"/>
    <s v="No"/>
    <s v="N/A"/>
    <s v="OS"/>
    <n v="100211"/>
    <s v="Charles Benson"/>
    <n v="100151"/>
    <s v="Mason Reynolds"/>
    <n v="4"/>
    <s v="Patrick Hayes"/>
    <s v="Mason Reynolds"/>
    <s v="Description -  This Req has been handled by Materials Team and this is related to Overshipped PO"/>
  </r>
  <r>
    <s v="A100"/>
    <s v="AFRA100"/>
    <s v="A100-141"/>
    <d v="2026-04-15T00:00:00"/>
    <d v="2026-04-15T00:00:00"/>
    <s v="60+"/>
    <s v="Africa"/>
    <n v="65"/>
    <n v="4651317"/>
    <s v="POON EX99994"/>
    <s v="SO91125199994"/>
    <s v="51125154754"/>
    <d v="2026-03-05T00:00:00"/>
    <s v="1443616"/>
    <x v="2"/>
    <s v="No Receiver"/>
    <n v="220050"/>
    <n v="220050"/>
    <d v="2026-06-15T00:00:00"/>
    <s v="Sales Team"/>
    <s v="Under Sales Team validation"/>
    <s v="Yes"/>
    <s v="Manager"/>
    <s v="NR"/>
    <n v="100241"/>
    <s v="Leah Pearson"/>
    <n v="100241"/>
    <s v="Leah Pearson"/>
    <n v="11"/>
    <s v="Patrick Hayes"/>
    <s v="Leah Pearson"/>
    <s v="Description -  This Req has been handled by Sales Team and this is related to No Receiver"/>
  </r>
  <r>
    <s v="A100"/>
    <s v="AFRA100"/>
    <s v="A100-141"/>
    <d v="2026-04-15T00:00:00"/>
    <d v="2026-04-15T00:00:00"/>
    <s v="60+"/>
    <s v="Africa"/>
    <n v="65"/>
    <n v="4651595"/>
    <s v="POON EX41223"/>
    <s v="SO91125241223"/>
    <s v="51125249813"/>
    <d v="2026-03-06T00:00:00"/>
    <s v="1443616"/>
    <x v="2"/>
    <s v="No Receiver"/>
    <n v="14280"/>
    <n v="14280"/>
    <d v="2026-06-15T00:00:00"/>
    <s v="Sales Team"/>
    <s v="Under Sales Team validation"/>
    <s v="Yes"/>
    <s v="Manager"/>
    <s v="NR"/>
    <n v="100271"/>
    <s v="Brooke Palmer"/>
    <n v="100271"/>
    <s v="Brooke Palmer"/>
    <n v="11"/>
    <s v="Patrick Hayes"/>
    <s v="Brooke Palmer"/>
    <s v="Description -  This Req has been handled by Sales Team and this is related to No Receiver"/>
  </r>
  <r>
    <s v="A100"/>
    <s v="AFRA100"/>
    <s v="A100-141"/>
    <d v="2026-04-15T00:00:00"/>
    <d v="2026-04-15T00:00:00"/>
    <s v="60+"/>
    <s v="Africa"/>
    <n v="65"/>
    <n v="4651873"/>
    <s v="POON EX82452"/>
    <s v="SO91125182452"/>
    <s v="51125154822"/>
    <d v="2026-03-06T00:00:00"/>
    <s v="1443616"/>
    <x v="2"/>
    <s v="No Receiver"/>
    <n v="28560"/>
    <n v="28560"/>
    <d v="2026-06-15T00:00:00"/>
    <s v="Sales Team"/>
    <s v="Under Sales Team validation"/>
    <s v="Yes"/>
    <s v="Manager"/>
    <s v="NR"/>
    <n v="100281"/>
    <s v="Grace Whitaker"/>
    <n v="100281"/>
    <s v="Grace Whitaker"/>
    <n v="11"/>
    <s v="Patrick Hayes"/>
    <s v="Grace Whitaker"/>
    <s v="Description -  This Req has been handled by Sales Team and this is related to No Receiver"/>
  </r>
  <r>
    <s v="A100"/>
    <s v="AFRA100"/>
    <s v="A100-141"/>
    <d v="2026-04-15T00:00:00"/>
    <d v="2026-04-15T00:00:00"/>
    <s v="60+"/>
    <s v="Africa"/>
    <n v="65"/>
    <n v="4652151"/>
    <s v="PO7820023681"/>
    <s v="SO90115723681"/>
    <s v="50115782001"/>
    <d v="2026-03-10T00:00:00"/>
    <s v="1443616"/>
    <x v="2"/>
    <s v="No Receiver"/>
    <n v="17074.14"/>
    <n v="17074.14"/>
    <d v="2026-06-15T00:00:00"/>
    <s v="Sales Team"/>
    <s v="Under Sales Team validation"/>
    <s v="Yes"/>
    <s v="Manager"/>
    <s v="NR"/>
    <n v="100111"/>
    <s v="Andrew Ross"/>
    <n v="100111"/>
    <s v="Andrew Ross"/>
    <n v="11"/>
    <s v="Patrick Hayes"/>
    <s v="Andrew Ross"/>
    <s v="Description -  This Req has been handled by Sales Team and this is related to No Receiver"/>
  </r>
  <r>
    <s v="A100"/>
    <s v="AFRA100"/>
    <s v="A100-141"/>
    <d v="2026-04-15T00:00:00"/>
    <d v="2026-04-15T00:00:00"/>
    <s v="60+"/>
    <s v="Africa"/>
    <n v="65"/>
    <n v="4652430"/>
    <s v="PO3008864911"/>
    <s v="SO91146064910"/>
    <s v="51146078140"/>
    <d v="2026-03-13T00:00:00"/>
    <s v="1443616"/>
    <x v="2"/>
    <s v="No Receiver"/>
    <n v="3570"/>
    <n v="3570"/>
    <d v="2026-06-15T00:00:00"/>
    <s v="Sales Team"/>
    <s v="Under Sales Team validation"/>
    <s v="Yes"/>
    <s v="Manager"/>
    <s v="NR"/>
    <n v="100121"/>
    <s v="Olivia Jenkins"/>
    <n v="100121"/>
    <s v="Olivia Jenkins"/>
    <n v="11"/>
    <s v="Patrick Hayes"/>
    <s v="Olivia Jenkins"/>
    <s v="Description -  This Req has been handled by Sales Team and this is related to No Receiver"/>
  </r>
  <r>
    <s v="A100"/>
    <s v="AFRA100"/>
    <s v="A100-141"/>
    <d v="2026-04-15T00:00:00"/>
    <d v="2026-04-15T00:00:00"/>
    <s v="60+"/>
    <s v="Africa"/>
    <n v="65"/>
    <n v="4652708"/>
    <s v="PO4416206139"/>
    <s v="SO91141006139"/>
    <s v="51141037279"/>
    <d v="2026-03-25T00:00:00"/>
    <s v="1443616"/>
    <x v="2"/>
    <s v="Resolve with Buyer"/>
    <n v="7794"/>
    <n v="7794"/>
    <d v="2026-06-15T00:00:00"/>
    <s v="Sales Team"/>
    <s v="Under Sales Team validation"/>
    <s v="Yes"/>
    <s v="Manager"/>
    <s v="RB"/>
    <n v="100151"/>
    <s v="Mason Reynolds"/>
    <n v="100151"/>
    <s v="Mason Reynolds"/>
    <n v="11"/>
    <s v="Patrick Hayes"/>
    <s v="Mason Reynolds"/>
    <s v="Description -  This Req has been handled by Sales Team and this is related to Resolve with Buyer"/>
  </r>
  <r>
    <s v="A100"/>
    <s v="AFRA100"/>
    <s v="A100-141"/>
    <d v="2026-04-15T00:00:00"/>
    <d v="2026-04-15T00:00:00"/>
    <s v="60+"/>
    <s v="Africa"/>
    <n v="65"/>
    <n v="4652986"/>
    <s v="PO4419347368"/>
    <s v="SO91141147368"/>
    <s v="51141112808"/>
    <d v="2026-03-27T00:00:00"/>
    <s v="1443616"/>
    <x v="2"/>
    <s v="No Receiver"/>
    <n v="37180"/>
    <n v="37180"/>
    <d v="2026-06-15T00:00:00"/>
    <s v="Sales Team"/>
    <s v="Under Sales Team validation"/>
    <s v="Yes"/>
    <s v="Manager"/>
    <s v="NR"/>
    <n v="100161"/>
    <s v="Connor Bishop"/>
    <n v="100161"/>
    <s v="Connor Bishop"/>
    <n v="11"/>
    <s v="Patrick Hayes"/>
    <s v="Connor Bishop"/>
    <s v="Description -  This Req has been handled by Sales Team and this is related to No Receiver"/>
  </r>
  <r>
    <s v="A100"/>
    <s v="AFRA100"/>
    <s v="A100-141"/>
    <d v="2026-04-24T00:00:00"/>
    <d v="2026-06-03T00:00:00"/>
    <s v="&lt;60"/>
    <s v="Africa"/>
    <n v="56"/>
    <n v="4673023"/>
    <s v="PO39P0215856"/>
    <s v="SO91146915856"/>
    <s v="51146974486"/>
    <d v="2025-11-28T00:00:00"/>
    <s v="1802721"/>
    <x v="12"/>
    <s v="Resolve with Buyer"/>
    <n v="6052.86"/>
    <n v="6052.86"/>
    <d v="2026-05-27T00:00:00"/>
    <s v="Sales Team"/>
    <s v="Under Sales Team validation"/>
    <s v="No"/>
    <s v="N/A"/>
    <s v="RB"/>
    <n v="100191"/>
    <s v="Dominic Flores"/>
    <n v="100191"/>
    <s v="Dominic Flores"/>
    <n v="30"/>
    <s v="Patrick Hayes"/>
    <s v="Dominic Flores"/>
    <s v="Description -  This Req has been handled by Sales Team and this is related to Resolve with Buyer"/>
  </r>
  <r>
    <s v="A100"/>
    <s v="AFRA100"/>
    <s v="A100-141"/>
    <d v="2026-04-30T00:00:00"/>
    <d v="2026-06-16T00:00:00"/>
    <s v="&lt;60"/>
    <s v="Africa"/>
    <n v="50"/>
    <n v="4688328"/>
    <s v="PO4418083451"/>
    <s v="SO91144983451"/>
    <s v="51144958601"/>
    <d v="2026-03-30T00:00:00"/>
    <s v="1880594"/>
    <x v="13"/>
    <s v="Unknown Deduction"/>
    <n v="9900"/>
    <n v="9900"/>
    <d v="2026-06-22T00:00:00"/>
    <s v="Credit Team"/>
    <s v="Under Credit Team validation"/>
    <s v="No"/>
    <s v="N/A"/>
    <s v="UN"/>
    <n v="100141"/>
    <s v="Liam Matthews"/>
    <n v="100121"/>
    <s v="Olivia Jenkins"/>
    <n v="4"/>
    <s v="Patrick Hayes"/>
    <s v="Olivia Jenkins"/>
    <s v="Description -  This Req has been handled by Credit Team and this is related to Unknown Deduction"/>
  </r>
  <r>
    <s v="A100"/>
    <s v="AFRA100"/>
    <s v="A100-141"/>
    <d v="2026-05-11T00:00:00"/>
    <d v="2026-06-17T00:00:00"/>
    <s v="&lt;60"/>
    <s v="Africa"/>
    <n v="39"/>
    <n v="4717270"/>
    <s v="PO4418671267"/>
    <s v="SO91140571267"/>
    <s v="51140516797"/>
    <d v="2026-04-06T00:00:00"/>
    <s v="1199834"/>
    <x v="14"/>
    <s v="Resolve with Buyer"/>
    <n v="132189.06"/>
    <n v="132189.06"/>
    <d v="2026-06-03T00:00:00"/>
    <s v="Sales Team"/>
    <s v="Under Sales Team validation"/>
    <s v="No"/>
    <s v="N/A"/>
    <s v="RB"/>
    <n v="100201"/>
    <s v="Aiden Harper"/>
    <n v="100201"/>
    <s v="Aiden Harper"/>
    <n v="23"/>
    <s v="Patrick Hayes"/>
    <s v="Aiden Harper"/>
    <s v="Description -  This Req has been handled by Sales Team and this is related to Resolve with Buyer"/>
  </r>
  <r>
    <s v="A100"/>
    <s v="AFRA100"/>
    <s v="A100-141"/>
    <d v="2026-05-15T00:00:00"/>
    <d v="2026-05-26T00:00:00"/>
    <s v="&lt;60"/>
    <s v="Africa"/>
    <n v="35"/>
    <n v="4747325"/>
    <s v="PO4419323999"/>
    <s v="SO91149323999"/>
    <s v="51149380439"/>
    <d v="2026-04-08T00:00:00"/>
    <s v="1580936"/>
    <x v="15"/>
    <s v="Resolve with Buyer"/>
    <n v="275961.17"/>
    <n v="275961.17"/>
    <d v="2026-06-15T00:00:00"/>
    <s v="Sales Team"/>
    <s v="Under Sales Team validation"/>
    <s v="No"/>
    <s v="N/A"/>
    <s v="RB"/>
    <n v="100231"/>
    <s v="Jackson Norris"/>
    <n v="100231"/>
    <s v="Jackson Norris"/>
    <n v="11"/>
    <s v="Patrick Hayes"/>
    <s v="Jackson Norris"/>
    <s v="Description -  This Req has been handled by Sales Team and this is related to Resolve with Buyer"/>
  </r>
  <r>
    <s v="A100"/>
    <s v="AFRA100"/>
    <s v="A100-141"/>
    <d v="2026-05-16T00:00:00"/>
    <d v="2026-05-16T00:00:00"/>
    <s v="&lt;60"/>
    <s v="Africa"/>
    <n v="34"/>
    <n v="4750108"/>
    <s v="PO4419836289"/>
    <s v="SO91149136289"/>
    <s v="51149183499"/>
    <d v="2026-01-16T00:00:00"/>
    <s v="1129814"/>
    <x v="6"/>
    <s v="Freight"/>
    <n v="195.61"/>
    <n v="195.61"/>
    <d v="2026-06-18T00:00:00"/>
    <s v="Materials Team"/>
    <s v="Under Materials Team validation"/>
    <s v="No"/>
    <s v="N/A"/>
    <s v="FR"/>
    <n v="100251"/>
    <s v="Paige Sullivan"/>
    <n v="100161"/>
    <s v="Connor Bishop"/>
    <n v="8"/>
    <s v="Patrick Hayes"/>
    <s v="Connor Bishop"/>
    <s v="Description -  This Req has been handled by Materials Team and this is related to Freight"/>
  </r>
  <r>
    <s v="A100"/>
    <s v="AFRA100"/>
    <s v="A100-141"/>
    <d v="2026-05-20T00:00:00"/>
    <d v="2026-06-16T00:00:00"/>
    <s v="&lt;60"/>
    <s v="Africa"/>
    <n v="30"/>
    <n v="4760682"/>
    <s v="PO3024485449"/>
    <s v="SO91151002991"/>
    <s v="51151002971"/>
    <d v="2026-04-03T00:00:00"/>
    <s v="1880594"/>
    <x v="13"/>
    <s v="Unknown Deduction"/>
    <n v="1102.7"/>
    <n v="1102.7"/>
    <d v="2026-06-22T00:00:00"/>
    <s v="Credit Team"/>
    <s v="Under Credit Team validation"/>
    <s v="No"/>
    <s v="N/A"/>
    <s v="UN"/>
    <n v="100181"/>
    <s v="Ella Bennett"/>
    <n v="100151"/>
    <s v="Mason Reynolds"/>
    <n v="4"/>
    <s v="Patrick Hayes"/>
    <s v="Mason Reynolds"/>
    <s v="Description -  This Req has been handled by Credit Team and this is related to Unknown Deduction"/>
  </r>
  <r>
    <s v="A100"/>
    <s v="AFRA100"/>
    <s v="A100-141"/>
    <d v="2026-05-21T00:00:00"/>
    <d v="2026-05-21T00:00:00"/>
    <s v="&lt;60"/>
    <s v="Africa"/>
    <n v="29"/>
    <n v="4767918"/>
    <s v="PO39P0157403"/>
    <s v="SO91152074945"/>
    <s v="51152059805"/>
    <d v="2026-04-15T00:00:00"/>
    <s v="1200360"/>
    <x v="5"/>
    <s v="Resolve with Buyer"/>
    <n v="124.05"/>
    <n v="124.05"/>
    <d v="2026-06-22T00:00:00"/>
    <s v="Sales Team"/>
    <s v="Under Sales Team validation"/>
    <s v="No"/>
    <s v="N/A"/>
    <s v="RB"/>
    <n v="100241"/>
    <s v="Leah Pearson"/>
    <n v="100241"/>
    <s v="Leah Pearson"/>
    <n v="4"/>
    <s v="Patrick Hayes"/>
    <s v="Leah Pearson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68196"/>
    <s v="PO39P0098632"/>
    <s v="SO91152016174"/>
    <s v="51152059844"/>
    <d v="2026-04-17T00:00:00"/>
    <s v="1200360"/>
    <x v="5"/>
    <s v="Resolve with Buyer"/>
    <n v="6800"/>
    <n v="6800"/>
    <d v="2026-06-22T00:00:00"/>
    <s v="Sales Team"/>
    <s v="Under Sales Team validation"/>
    <s v="No"/>
    <s v="N/A"/>
    <s v="RB"/>
    <n v="100271"/>
    <s v="Brooke Palmer"/>
    <n v="100271"/>
    <s v="Brooke Palmer"/>
    <n v="4"/>
    <s v="Patrick Hayes"/>
    <s v="Brooke Palmer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68474"/>
    <s v="PO6706257403"/>
    <s v="SO99400657403"/>
    <s v="59400670623"/>
    <d v="2026-04-22T00:00:00"/>
    <s v="1200360"/>
    <x v="5"/>
    <s v="Resolve with Buyer"/>
    <n v="113.7"/>
    <n v="113.7"/>
    <d v="2026-06-22T00:00:00"/>
    <s v="Sales Team"/>
    <s v="Under Sales Team validation"/>
    <s v="No"/>
    <s v="N/A"/>
    <s v="RB"/>
    <n v="100281"/>
    <s v="Grace Whitaker"/>
    <n v="100281"/>
    <s v="Grace Whitaker"/>
    <n v="4"/>
    <s v="Patrick Hayes"/>
    <s v="Grace Whitaker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68753"/>
    <s v="PO5100498632"/>
    <s v="SO91152698632"/>
    <s v="51152675182"/>
    <d v="2026-04-22T00:00:00"/>
    <s v="1200360"/>
    <x v="5"/>
    <s v="Resolve with Buyer"/>
    <n v="109.44"/>
    <n v="109.44"/>
    <d v="2026-06-22T00:00:00"/>
    <s v="Sales Team"/>
    <s v="Under Sales Team validation"/>
    <s v="No"/>
    <s v="N/A"/>
    <s v="RB"/>
    <n v="100111"/>
    <s v="Andrew Ross"/>
    <n v="100111"/>
    <s v="Andrew Ross"/>
    <n v="4"/>
    <s v="Patrick Hayes"/>
    <s v="Andrew Ross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69031"/>
    <s v="PO1011139862"/>
    <s v="SO91149739861"/>
    <s v="51149787491"/>
    <d v="2026-04-22T00:00:00"/>
    <s v="1200360"/>
    <x v="5"/>
    <s v="Resolve with Buyer"/>
    <n v="113.7"/>
    <n v="113.7"/>
    <d v="2026-06-22T00:00:00"/>
    <s v="Sales Team"/>
    <s v="Under Sales Team validation"/>
    <s v="No"/>
    <s v="N/A"/>
    <s v="RB"/>
    <n v="100121"/>
    <s v="Olivia Jenkins"/>
    <n v="100121"/>
    <s v="Olivia Jenkins"/>
    <n v="4"/>
    <s v="Patrick Hayes"/>
    <s v="Olivia Jenkins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69309"/>
    <s v="PO4420481090"/>
    <s v="SO91151381090"/>
    <s v="51151389540"/>
    <d v="2026-04-09T00:00:00"/>
    <s v="1200360"/>
    <x v="5"/>
    <s v="Resolve with Buyer"/>
    <n v="680"/>
    <n v="680"/>
    <d v="2026-06-22T00:00:00"/>
    <s v="Sales Team"/>
    <s v="Under Sales Team validation"/>
    <s v="No"/>
    <s v="N/A"/>
    <s v="RB"/>
    <n v="100151"/>
    <s v="Mason Reynolds"/>
    <n v="100151"/>
    <s v="Mason Reynolds"/>
    <n v="4"/>
    <s v="Patrick Hayes"/>
    <s v="Mason Reynolds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69588"/>
    <s v="PO4419822319"/>
    <s v="SO91151322319"/>
    <s v="51151397009"/>
    <d v="2026-04-08T00:00:00"/>
    <s v="1200360"/>
    <x v="5"/>
    <s v="Resolve with Buyer"/>
    <n v="124.05"/>
    <n v="124.05"/>
    <d v="2026-06-22T00:00:00"/>
    <s v="Sales Team"/>
    <s v="Under Sales Team validation"/>
    <s v="No"/>
    <s v="N/A"/>
    <s v="RB"/>
    <n v="100161"/>
    <s v="Connor Bishop"/>
    <n v="100161"/>
    <s v="Connor Bishop"/>
    <n v="4"/>
    <s v="Patrick Hayes"/>
    <s v="Connor Bishop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69866"/>
    <s v="PO4420563548"/>
    <s v="SO91151963548"/>
    <s v="51151945058"/>
    <d v="2026-04-09T00:00:00"/>
    <s v="1200360"/>
    <x v="5"/>
    <s v="Resolve with Buyer"/>
    <n v="340"/>
    <n v="340"/>
    <d v="2026-06-22T00:00:00"/>
    <s v="Sales Team"/>
    <s v="Under Sales Team validation"/>
    <s v="No"/>
    <s v="N/A"/>
    <s v="RB"/>
    <n v="100191"/>
    <s v="Dominic Flores"/>
    <n v="100191"/>
    <s v="Dominic Flores"/>
    <n v="4"/>
    <s v="Patrick Hayes"/>
    <s v="Dominic Flores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70144"/>
    <s v="PO4420404777"/>
    <s v="SO91151204777"/>
    <s v="51151297097"/>
    <d v="2026-04-17T00:00:00"/>
    <s v="1200360"/>
    <x v="5"/>
    <s v="Resolve with Buyer"/>
    <n v="341"/>
    <n v="341"/>
    <d v="2026-06-22T00:00:00"/>
    <s v="Sales Team"/>
    <s v="Under Sales Team validation"/>
    <s v="No"/>
    <s v="N/A"/>
    <s v="RB"/>
    <n v="100201"/>
    <s v="Aiden Harper"/>
    <n v="100201"/>
    <s v="Aiden Harper"/>
    <n v="4"/>
    <s v="Patrick Hayes"/>
    <s v="Aiden Harper"/>
    <s v="Description -  This Req has been handled by Sales Team and this is related to Resolve with Buyer"/>
  </r>
  <r>
    <s v="A100"/>
    <s v="AFRA100"/>
    <s v="A100-141"/>
    <d v="2026-05-28T00:00:00"/>
    <d v="2026-06-16T00:00:00"/>
    <s v="&lt;60"/>
    <s v="Africa"/>
    <n v="22"/>
    <n v="4837211"/>
    <s v="PO4420640966"/>
    <s v="SO91154040966"/>
    <s v="51154039656"/>
    <d v="2026-01-13T00:00:00"/>
    <s v="1468334"/>
    <x v="16"/>
    <s v="Deducted Tax"/>
    <n v="314.39"/>
    <n v="314.39"/>
    <d v="2026-06-15T00:00:00"/>
    <s v="Tax Team"/>
    <s v="Under Tax Team validation"/>
    <s v="No"/>
    <s v="N/A"/>
    <s v="TAX"/>
    <n v="100291"/>
    <s v="Laura Whitfield"/>
    <n v="100111"/>
    <s v="Andrew Ross"/>
    <n v="11"/>
    <s v="Patrick Hayes"/>
    <s v="Andrew Ross"/>
    <s v="Description -  This Req has been handled by Tax Team and this is related to Deducted Tax"/>
  </r>
  <r>
    <s v="A100"/>
    <s v="AFRA100"/>
    <s v="A100-141"/>
    <d v="2026-05-28T00:00:00"/>
    <d v="2026-05-28T00:00:00"/>
    <s v="&lt;60"/>
    <s v="Africa"/>
    <n v="22"/>
    <n v="4839437"/>
    <s v="PO4419870798"/>
    <s v="SO91154470798"/>
    <s v="51154479448"/>
    <d v="2026-04-28T00:00:00"/>
    <s v="1443616"/>
    <x v="2"/>
    <s v="No Receiver"/>
    <n v="223600"/>
    <n v="223600"/>
    <d v="2026-06-15T00:00:00"/>
    <s v="Sales Team"/>
    <s v="Under Sales Team validation"/>
    <s v="No"/>
    <s v="N/A"/>
    <s v="NR"/>
    <n v="100231"/>
    <s v="Jackson Norris"/>
    <n v="100231"/>
    <s v="Jackson Norris"/>
    <n v="11"/>
    <s v="Patrick Hayes"/>
    <s v="Jackson Norris"/>
    <s v="Description -  This Req has been handled by Sales Team and this is related to No Receiver"/>
  </r>
  <r>
    <s v="A100"/>
    <s v="AFRA100"/>
    <s v="A100-141"/>
    <d v="2026-05-28T00:00:00"/>
    <d v="2026-05-28T00:00:00"/>
    <s v="&lt;60"/>
    <s v="Africa"/>
    <n v="22"/>
    <n v="4839715"/>
    <s v="PO4420812027"/>
    <s v="SO91154512027"/>
    <s v="51154510407"/>
    <d v="2026-05-08T00:00:00"/>
    <s v="1443616"/>
    <x v="2"/>
    <s v="No Receiver"/>
    <n v="89440"/>
    <n v="89440"/>
    <d v="2026-06-15T00:00:00"/>
    <s v="Sales Team"/>
    <s v="Under Sales Team validation"/>
    <s v="No"/>
    <s v="N/A"/>
    <s v="NR"/>
    <n v="100241"/>
    <s v="Leah Pearson"/>
    <n v="100241"/>
    <s v="Leah Pearson"/>
    <n v="11"/>
    <s v="Patrick Hayes"/>
    <s v="Leah Pearson"/>
    <s v="Description -  This Req has been handled by Sales Team and this is related to No Receiver"/>
  </r>
  <r>
    <s v="A100"/>
    <s v="AFRA100"/>
    <s v="A100-141"/>
    <d v="2026-06-01T00:00:00"/>
    <d v="2026-06-15T00:00:00"/>
    <s v="&lt;60"/>
    <s v="Africa"/>
    <n v="18"/>
    <n v="4857525"/>
    <s v="PO4420950683"/>
    <s v="SO91155550683"/>
    <s v="51155531403"/>
    <d v="2026-05-28T00:00:00"/>
    <s v="1388979"/>
    <x v="17"/>
    <s v="RMA Credit Needed"/>
    <n v="9917.3799999999992"/>
    <n v="9917.3799999999992"/>
    <d v="2026-06-22T00:00:00"/>
    <s v="Materials Team"/>
    <s v="Under Materials Team validation"/>
    <s v="No"/>
    <s v="N/A"/>
    <s v="PR"/>
    <n v="100131"/>
    <s v="Emily Coleman"/>
    <n v="100111"/>
    <s v="Andrew Ross"/>
    <n v="4"/>
    <s v="Patrick Hayes"/>
    <s v="Andrew Ross"/>
    <s v="Description -  This Req has been handled by Materials Team and this is related to RMA Credit Needed"/>
  </r>
  <r>
    <s v="A100"/>
    <s v="AFRA100"/>
    <s v="A100-141"/>
    <d v="2026-06-03T00:00:00"/>
    <d v="2026-06-03T00:00:00"/>
    <s v="&lt;60"/>
    <s v="Africa"/>
    <n v="16"/>
    <n v="4867544"/>
    <s v="PO4420934927"/>
    <s v="SO91155934927"/>
    <s v="51155972467"/>
    <d v="2026-02-09T00:00:00"/>
    <s v="1200360"/>
    <x v="5"/>
    <s v="Unknown Deduction"/>
    <n v="1360"/>
    <n v="1360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6-06-04T00:00:00"/>
    <d v="2026-06-04T00:00:00"/>
    <s v="&lt;60"/>
    <s v="Africa"/>
    <n v="15"/>
    <n v="4869492"/>
    <s v="PO5500023530"/>
    <s v="SO91158623530"/>
    <s v="51158616960"/>
    <d v="2026-06-01T00:00:00"/>
    <s v="1443616"/>
    <x v="2"/>
    <s v="Unknown Deduction"/>
    <n v="304.44"/>
    <n v="304.44"/>
    <d v="2026-06-15T00:00:00"/>
    <s v="Credit Team"/>
    <s v="Under Credit Team validation"/>
    <s v="No"/>
    <s v="N/A"/>
    <s v="UN"/>
    <n v="100261"/>
    <s v="Taylor Jennings"/>
    <n v="100191"/>
    <s v="Dominic Flores"/>
    <n v="11"/>
    <s v="Patrick Hayes"/>
    <s v="Dominic Flores"/>
    <s v="Description -  This Req has been handled by Credit Team and this is related to Unknown Deduction"/>
  </r>
  <r>
    <s v="A100"/>
    <s v="AFRA100"/>
    <s v="A100-141"/>
    <d v="2026-06-04T00:00:00"/>
    <d v="2026-06-04T00:00:00"/>
    <s v="&lt;60"/>
    <s v="Africa"/>
    <n v="15"/>
    <n v="4869770"/>
    <s v="PO4420964759"/>
    <s v="SO91156064759"/>
    <s v="51156005779"/>
    <d v="2026-06-01T00:00:00"/>
    <s v="1443616"/>
    <x v="2"/>
    <s v="Unknown Deduction"/>
    <n v="31.3"/>
    <n v="31.3"/>
    <d v="2026-06-15T00:00:00"/>
    <s v="Credit Team"/>
    <s v="Under Credit Team validation"/>
    <s v="No"/>
    <s v="N/A"/>
    <s v="UN"/>
    <n v="100101"/>
    <s v="James Mitchell"/>
    <n v="100111"/>
    <s v="Andrew Ross"/>
    <n v="11"/>
    <s v="Patrick Hayes"/>
    <s v="Andrew Ross"/>
    <s v="Description -  This Req has been handled by Credit Team and this is related to Unknown Deduction"/>
  </r>
  <r>
    <s v="A100"/>
    <s v="AFRA100"/>
    <s v="A100-141"/>
    <d v="2026-06-04T00:00:00"/>
    <d v="2026-06-04T00:00:00"/>
    <s v="&lt;60"/>
    <s v="Africa"/>
    <n v="15"/>
    <n v="4870048"/>
    <s v="PO4419605988"/>
    <s v="SO91155905988"/>
    <s v="51155953858"/>
    <d v="2026-06-01T00:00:00"/>
    <s v="1443616"/>
    <x v="2"/>
    <s v="Unknown Deduction"/>
    <n v="31.3"/>
    <n v="31.3"/>
    <d v="2026-06-15T00:00:00"/>
    <s v="Credit Team"/>
    <s v="Under Credit Team validation"/>
    <s v="No"/>
    <s v="N/A"/>
    <s v="UN"/>
    <n v="100141"/>
    <s v="Liam Matthews"/>
    <n v="100121"/>
    <s v="Olivia Jenkins"/>
    <n v="11"/>
    <s v="Patrick Hayes"/>
    <s v="Olivia Jenkins"/>
    <s v="Description -  This Req has been handled by Credit Team and this is related to Unknown Deduction"/>
  </r>
  <r>
    <s v="A100"/>
    <s v="AFRA100"/>
    <s v="A100-141"/>
    <d v="2026-06-09T00:00:00"/>
    <d v="2026-06-09T00:00:00"/>
    <s v="&lt;60"/>
    <s v="Africa"/>
    <n v="10"/>
    <n v="4899825"/>
    <s v="PO5500017491"/>
    <s v="SO91152617491"/>
    <s v="51152668241"/>
    <d v="2026-06-08T00:00:00"/>
    <s v="1443616"/>
    <x v="2"/>
    <s v="Unknown Deduction"/>
    <n v="265"/>
    <n v="265"/>
    <d v="2026-06-15T00:00:00"/>
    <s v="Credit Team"/>
    <s v="Under Credit Team validation"/>
    <s v="No"/>
    <s v="N/A"/>
    <s v="UN"/>
    <n v="100181"/>
    <s v="Ella Bennett"/>
    <n v="100151"/>
    <s v="Mason Reynolds"/>
    <n v="11"/>
    <s v="Patrick Hayes"/>
    <s v="Mason Reynolds"/>
    <s v="Description -  This Req has been handled by Credit Team and this is related to Unknown Deduction"/>
  </r>
  <r>
    <s v="A100"/>
    <s v="AFRA100"/>
    <s v="A100-141"/>
    <d v="2026-06-09T00:00:00"/>
    <d v="2026-06-10T00:00:00"/>
    <s v="&lt;60"/>
    <s v="Africa"/>
    <n v="10"/>
    <n v="4902051"/>
    <s v="PO31-9647324"/>
    <s v="SO91159647323"/>
    <s v="51159626793"/>
    <d v="2026-04-28T00:00:00"/>
    <s v="1920383"/>
    <x v="18"/>
    <s v="Unknown Deduction"/>
    <n v="1883.67"/>
    <n v="1883.67"/>
    <d v="2026-06-15T00:00:00"/>
    <s v="Credit Team"/>
    <s v="Under Credit Team validation"/>
    <s v="No"/>
    <s v="N/A"/>
    <s v="UN"/>
    <n v="100221"/>
    <s v="Eli Hudson"/>
    <n v="100161"/>
    <s v="Connor Bishop"/>
    <n v="11"/>
    <s v="Patrick Hayes"/>
    <s v="Connor Bishop"/>
    <s v="Description -  This Req has been handled by Credit Team and this is related to Unknown Deduction"/>
  </r>
  <r>
    <s v="A100"/>
    <s v="AFRA100"/>
    <s v="A100-141"/>
    <d v="2026-06-11T00:00:00"/>
    <d v="2026-06-11T00:00:00"/>
    <s v="&lt;60"/>
    <s v="Africa"/>
    <n v="8"/>
    <n v="4915130"/>
    <s v="PO126885086"/>
    <s v="SO91159185086"/>
    <s v="51159121516"/>
    <d v="2026-03-24T00:00:00"/>
    <s v="1229933"/>
    <x v="19"/>
    <s v="No Receiver"/>
    <n v="8568"/>
    <n v="8568"/>
    <d v="2026-06-22T00:00:00"/>
    <s v="Sales Team"/>
    <s v="Under Sales Team validation"/>
    <s v="No"/>
    <s v="N/A"/>
    <s v="NR"/>
    <n v="100271"/>
    <s v="Brooke Palmer"/>
    <n v="100271"/>
    <s v="Brooke Palmer"/>
    <n v="4"/>
    <s v="Patrick Hayes"/>
    <s v="Brooke Palmer"/>
    <s v="Description -  This Req has been handled by Sales Team and this is related to No Receiver"/>
  </r>
  <r>
    <s v="A100"/>
    <s v="AFRA100"/>
    <s v="A100-141"/>
    <d v="2026-06-16T00:00:00"/>
    <d v="2026-06-16T00:00:00"/>
    <s v="&lt;60"/>
    <s v="Africa"/>
    <n v="3"/>
    <n v="4945742"/>
    <s v="PO4420720276"/>
    <s v="SO91158220276"/>
    <s v="51158202706"/>
    <d v="2026-06-12T00:00:00"/>
    <s v="1443616"/>
    <x v="2"/>
    <s v="Unknown Deduction"/>
    <n v="19.14"/>
    <n v="19.14"/>
    <d v="2026-06-22T00:00:00"/>
    <s v="Credit Team"/>
    <s v="Under Credit Team validation"/>
    <s v="No"/>
    <s v="N/A"/>
    <s v="UN"/>
    <n v="100261"/>
    <s v="Taylor Jennings"/>
    <n v="100191"/>
    <s v="Dominic Flores"/>
    <n v="4"/>
    <s v="Patrick Hayes"/>
    <s v="Dominic Flore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6020"/>
    <s v="PO4420761505"/>
    <s v="SO91158161505"/>
    <s v="51158142085"/>
    <d v="2026-06-12T00:00:00"/>
    <s v="1443616"/>
    <x v="2"/>
    <s v="Unknown Deduction"/>
    <n v="10.050000000000001"/>
    <n v="10.050000000000001"/>
    <d v="2026-06-22T00:00:00"/>
    <s v="Credit Team"/>
    <s v="Under Credit Team validation"/>
    <s v="No"/>
    <s v="N/A"/>
    <s v="UN"/>
    <n v="100101"/>
    <s v="James Mitchell"/>
    <n v="100111"/>
    <s v="Andrew Ross"/>
    <n v="4"/>
    <s v="Patrick Hayes"/>
    <s v="Andrew Ros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6298"/>
    <s v="PODO-0002735"/>
    <s v="SO91160702734"/>
    <s v="51160798754"/>
    <d v="2026-06-12T00:00:00"/>
    <s v="1900716"/>
    <x v="20"/>
    <s v="Discount"/>
    <n v="594.09"/>
    <n v="594.09"/>
    <d v="2026-06-22T00:00:00"/>
    <s v="Credit Team"/>
    <s v="Under Credit Team validation"/>
    <s v="No"/>
    <s v="N/A"/>
    <s v="DI"/>
    <n v="100141"/>
    <s v="Liam Matthews"/>
    <n v="100121"/>
    <s v="Olivia Jenkins"/>
    <n v="4"/>
    <s v="Patrick Hayes"/>
    <s v="Olivia Jenkins"/>
    <s v="Description -  This Req has been handled by Credit Team and this is related to Discount"/>
  </r>
  <r>
    <s v="A100"/>
    <s v="AFRA100"/>
    <s v="A100-141"/>
    <d v="2026-06-16T00:00:00"/>
    <d v="2026-06-16T00:00:00"/>
    <s v="&lt;60"/>
    <s v="Africa"/>
    <n v="3"/>
    <n v="4946577"/>
    <s v="PO5989943963"/>
    <s v="SO91159643963"/>
    <s v="51159607763"/>
    <d v="2026-06-12T00:00:00"/>
    <s v="1443616"/>
    <x v="2"/>
    <s v="Unknown Deduction"/>
    <n v="34.79"/>
    <n v="34.79"/>
    <d v="2026-06-22T00:00:00"/>
    <s v="Credit Team"/>
    <s v="Under Credit Team validation"/>
    <s v="No"/>
    <s v="N/A"/>
    <s v="UN"/>
    <n v="100181"/>
    <s v="Ella Bennett"/>
    <n v="100151"/>
    <s v="Mason Reynolds"/>
    <n v="4"/>
    <s v="Patrick Hayes"/>
    <s v="Mason Reynold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6855"/>
    <s v="PO5858785192"/>
    <s v="SO90117585192"/>
    <s v="50117585872"/>
    <d v="2026-06-12T00:00:00"/>
    <s v="1443616"/>
    <x v="2"/>
    <s v="Unknown Deduction"/>
    <n v="34.79"/>
    <n v="34.79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7133"/>
    <s v="PO2100326422"/>
    <s v="SO91160626421"/>
    <s v="51160632721"/>
    <d v="2026-06-12T00:00:00"/>
    <s v="1443616"/>
    <x v="2"/>
    <s v="Unknown Deduction"/>
    <n v="34.79"/>
    <n v="34.79"/>
    <d v="2026-06-22T00:00:00"/>
    <s v="Credit Team"/>
    <s v="Under Credit Team validation"/>
    <s v="No"/>
    <s v="N/A"/>
    <s v="UN"/>
    <n v="100261"/>
    <s v="Taylor Jennings"/>
    <n v="100191"/>
    <s v="Dominic Flores"/>
    <n v="4"/>
    <s v="Patrick Hayes"/>
    <s v="Dominic Flore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7411"/>
    <s v="PO4580067650"/>
    <s v="SO90117567650"/>
    <s v="50117566310"/>
    <d v="2026-06-12T00:00:00"/>
    <s v="1443616"/>
    <x v="2"/>
    <s v="Unknown Deduction"/>
    <n v="34.79"/>
    <n v="34.79"/>
    <d v="2026-06-22T00:00:00"/>
    <s v="Credit Team"/>
    <s v="Under Credit Team validation"/>
    <s v="No"/>
    <s v="N/A"/>
    <s v="UN"/>
    <n v="100101"/>
    <s v="James Mitchell"/>
    <n v="100111"/>
    <s v="Andrew Ross"/>
    <n v="4"/>
    <s v="Patrick Hayes"/>
    <s v="Andrew Ros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7690"/>
    <s v="PO5274908879"/>
    <s v="SO90117508879"/>
    <s v="50117527499"/>
    <d v="2026-06-12T00:00:00"/>
    <s v="1443616"/>
    <x v="2"/>
    <s v="Unknown Deduction"/>
    <n v="265"/>
    <n v="265"/>
    <d v="2026-06-22T00:00:00"/>
    <s v="Credit Team"/>
    <s v="Under Credit Team validation"/>
    <s v="No"/>
    <s v="N/A"/>
    <s v="UN"/>
    <n v="100141"/>
    <s v="Liam Matthews"/>
    <n v="100121"/>
    <s v="Olivia Jenkins"/>
    <n v="4"/>
    <s v="Patrick Hayes"/>
    <s v="Olivia Jenkin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7968"/>
    <s v="PO2731150109"/>
    <s v="SO91161250108"/>
    <s v="51161299108"/>
    <d v="2026-06-12T00:00:00"/>
    <s v="1443616"/>
    <x v="2"/>
    <s v="Unknown Deduction"/>
    <n v="42.96"/>
    <n v="42.96"/>
    <d v="2026-06-22T00:00:00"/>
    <s v="Credit Team"/>
    <s v="Under Credit Team validation"/>
    <s v="No"/>
    <s v="N/A"/>
    <s v="UN"/>
    <n v="100181"/>
    <s v="Ella Bennett"/>
    <n v="100151"/>
    <s v="Mason Reynolds"/>
    <n v="4"/>
    <s v="Patrick Hayes"/>
    <s v="Mason Reynold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8246"/>
    <s v="PO6240191337"/>
    <s v="SO90117691337"/>
    <s v="50117624017"/>
    <d v="2026-06-12T00:00:00"/>
    <s v="1443616"/>
    <x v="2"/>
    <s v="Unknown Deduction"/>
    <n v="34.79"/>
    <n v="34.79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8524"/>
    <s v="PO4518532566"/>
    <s v="SO91160332566"/>
    <s v="51160361776"/>
    <d v="2026-06-12T00:00:00"/>
    <s v="1443616"/>
    <x v="2"/>
    <s v="Unknown Deduction"/>
    <n v="31.92"/>
    <n v="31.92"/>
    <d v="2026-06-22T00:00:00"/>
    <s v="Credit Team"/>
    <s v="Under Credit Team validation"/>
    <s v="No"/>
    <s v="N/A"/>
    <s v="UN"/>
    <n v="100261"/>
    <s v="Taylor Jennings"/>
    <n v="100191"/>
    <s v="Dominic Flores"/>
    <n v="4"/>
    <s v="Patrick Hayes"/>
    <s v="Dominic Flore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8803"/>
    <s v="PO4500073795"/>
    <s v="SO91160373795"/>
    <s v="51160358125"/>
    <d v="2026-06-12T00:00:00"/>
    <s v="1443616"/>
    <x v="2"/>
    <s v="Unknown Deduction"/>
    <n v="265"/>
    <n v="265"/>
    <d v="2026-06-22T00:00:00"/>
    <s v="Credit Team"/>
    <s v="Under Credit Team validation"/>
    <s v="No"/>
    <s v="N/A"/>
    <s v="UN"/>
    <n v="100101"/>
    <s v="James Mitchell"/>
    <n v="100111"/>
    <s v="Andrew Ross"/>
    <n v="4"/>
    <s v="Patrick Hayes"/>
    <s v="Andrew Ros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9081"/>
    <s v="PO2729815025"/>
    <s v="SO91161115024"/>
    <s v="51161155154"/>
    <d v="2026-06-12T00:00:00"/>
    <s v="1443616"/>
    <x v="2"/>
    <s v="Unknown Deduction"/>
    <n v="34.79"/>
    <n v="34.79"/>
    <d v="2026-06-22T00:00:00"/>
    <s v="Credit Team"/>
    <s v="Under Credit Team validation"/>
    <s v="No"/>
    <s v="N/A"/>
    <s v="UN"/>
    <n v="100141"/>
    <s v="Liam Matthews"/>
    <n v="100121"/>
    <s v="Olivia Jenkins"/>
    <n v="4"/>
    <s v="Patrick Hayes"/>
    <s v="Olivia Jenkin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9359"/>
    <s v="PO5722756253"/>
    <s v="SO91160556253"/>
    <s v="51160572273"/>
    <d v="2026-06-12T00:00:00"/>
    <s v="1443616"/>
    <x v="2"/>
    <s v="Unknown Deduction"/>
    <n v="34.79"/>
    <n v="34.79"/>
    <d v="2026-06-22T00:00:00"/>
    <s v="Credit Team"/>
    <s v="Under Credit Team validation"/>
    <s v="No"/>
    <s v="N/A"/>
    <s v="UN"/>
    <n v="100181"/>
    <s v="Ella Bennett"/>
    <n v="100151"/>
    <s v="Mason Reynolds"/>
    <n v="4"/>
    <s v="Patrick Hayes"/>
    <s v="Mason Reynold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9638"/>
    <s v="PO2728497482"/>
    <s v="SO91161197482"/>
    <s v="51161155172"/>
    <d v="2026-06-12T00:00:00"/>
    <s v="1443616"/>
    <x v="2"/>
    <s v="Unknown Deduction"/>
    <n v="20.440000000000001"/>
    <n v="20.440000000000001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9916"/>
    <s v="PO2730038711"/>
    <s v="SO91161138711"/>
    <s v="51161155211"/>
    <d v="2026-06-12T00:00:00"/>
    <s v="1443616"/>
    <x v="2"/>
    <s v="Unknown Deduction"/>
    <n v="25.35"/>
    <n v="25.35"/>
    <d v="2026-06-22T00:00:00"/>
    <s v="Credit Team"/>
    <s v="Under Credit Team validation"/>
    <s v="No"/>
    <s v="N/A"/>
    <s v="UN"/>
    <n v="100261"/>
    <s v="Taylor Jennings"/>
    <n v="100191"/>
    <s v="Dominic Flores"/>
    <n v="4"/>
    <s v="Patrick Hayes"/>
    <s v="Dominic Flore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50194"/>
    <s v="PO2728479940"/>
    <s v="SO91161379940"/>
    <s v="51161393040"/>
    <d v="2026-06-12T00:00:00"/>
    <s v="1443616"/>
    <x v="2"/>
    <s v="Unknown Deduction"/>
    <n v="42.96"/>
    <n v="42.96"/>
    <d v="2026-06-22T00:00:00"/>
    <s v="Credit Team"/>
    <s v="Under Credit Team validation"/>
    <s v="No"/>
    <s v="N/A"/>
    <s v="UN"/>
    <n v="100101"/>
    <s v="James Mitchell"/>
    <n v="100111"/>
    <s v="Andrew Ross"/>
    <n v="4"/>
    <s v="Patrick Hayes"/>
    <s v="Andrew Ros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50472"/>
    <s v="PO6792721169"/>
    <s v="SO90117621169"/>
    <s v="50117679279"/>
    <d v="2026-06-12T00:00:00"/>
    <s v="1443616"/>
    <x v="2"/>
    <s v="Unknown Deduction"/>
    <n v="42.96"/>
    <n v="42.96"/>
    <d v="2026-06-22T00:00:00"/>
    <s v="Credit Team"/>
    <s v="Under Credit Team validation"/>
    <s v="No"/>
    <s v="N/A"/>
    <s v="UN"/>
    <n v="100141"/>
    <s v="Liam Matthews"/>
    <n v="100121"/>
    <s v="Olivia Jenkins"/>
    <n v="4"/>
    <s v="Patrick Hayes"/>
    <s v="Olivia Jenkin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59934"/>
    <s v="PO3014222955"/>
    <s v="SO91161922955"/>
    <s v="51161907705"/>
    <d v="2026-02-05T00:00:00"/>
    <s v="1468334"/>
    <x v="16"/>
    <s v="Deducted Tax"/>
    <n v="114.4"/>
    <n v="114.4"/>
    <d v="2026-06-22T00:00:00"/>
    <s v="Tax Team"/>
    <s v="Under Tax Team validation"/>
    <s v="No"/>
    <s v="N/A"/>
    <s v="TAX"/>
    <n v="100291"/>
    <s v="Laura Whitfield"/>
    <n v="100111"/>
    <s v="Andrew Ross"/>
    <n v="4"/>
    <s v="Patrick Hayes"/>
    <s v="Andrew Ross"/>
    <s v="Description -  This Req has been handled by Tax Team and this is related to Deducted Tax"/>
  </r>
  <r>
    <s v="A100"/>
    <s v="AFRA100"/>
    <s v="A100-141"/>
    <d v="2026-06-17T00:00:00"/>
    <d v="2026-06-17T00:00:00"/>
    <s v="&lt;60"/>
    <s v="Africa"/>
    <n v="2"/>
    <n v="4966056"/>
    <s v="PO3014229993"/>
    <s v="SO91161929993"/>
    <s v="51161918053"/>
    <d v="2026-04-29T00:00:00"/>
    <s v="1394929"/>
    <x v="8"/>
    <s v="Resolve with Buyer"/>
    <n v="751.61"/>
    <n v="751.61"/>
    <d v="2026-06-22T00:00:00"/>
    <s v="Sales Team"/>
    <s v="Under Sales Team validation"/>
    <s v="No"/>
    <s v="N/A"/>
    <s v="RB"/>
    <n v="100281"/>
    <s v="Grace Whitaker"/>
    <n v="100281"/>
    <s v="Grace Whitaker"/>
    <n v="4"/>
    <s v="Patrick Hayes"/>
    <s v="Grace Whitaker"/>
    <s v="Description -  This Req has been handled by Sales Team and this is related to Resolve with Buyer"/>
  </r>
  <r>
    <s v="A100"/>
    <s v="AFRA100"/>
    <s v="A100-141"/>
    <d v="2026-06-17T00:00:00"/>
    <d v="2026-06-17T00:00:00"/>
    <s v="&lt;60"/>
    <s v="Africa"/>
    <n v="2"/>
    <n v="4969674"/>
    <s v="PO6996165970"/>
    <s v="SO90117665970"/>
    <s v="50117699610"/>
    <d v="2026-05-05T00:00:00"/>
    <s v="1880594"/>
    <x v="13"/>
    <s v="Unknown Deduction"/>
    <n v="980"/>
    <n v="980"/>
    <d v="2026-06-22T00:00:00"/>
    <s v="Credit Team"/>
    <s v="Under Credit Team validation"/>
    <s v="No"/>
    <s v="N/A"/>
    <s v="UN"/>
    <n v="100181"/>
    <s v="Ella Bennett"/>
    <n v="100151"/>
    <s v="Mason Reynolds"/>
    <n v="4"/>
    <s v="Patrick Hayes"/>
    <s v="Mason Reynold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69952"/>
    <s v="PO4420107199"/>
    <s v="SO91158607199"/>
    <s v="51158609189"/>
    <d v="2026-04-27T00:00:00"/>
    <s v="1880594"/>
    <x v="13"/>
    <s v="Unknown Deduction"/>
    <n v="35.700000000000003"/>
    <n v="35.700000000000003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0231"/>
    <s v="PO4420148428"/>
    <s v="SO91158648428"/>
    <s v="51158608808"/>
    <d v="2026-05-01T00:00:00"/>
    <s v="1880594"/>
    <x v="13"/>
    <s v="Unknown Deduction"/>
    <n v="393.84"/>
    <n v="393.84"/>
    <d v="2026-06-22T00:00:00"/>
    <s v="Credit Team"/>
    <s v="Under Credit Team validation"/>
    <s v="No"/>
    <s v="N/A"/>
    <s v="UN"/>
    <n v="100261"/>
    <s v="Taylor Jennings"/>
    <n v="100191"/>
    <s v="Dominic Flores"/>
    <n v="4"/>
    <s v="Patrick Hayes"/>
    <s v="Dominic Flore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0509"/>
    <s v="PO4420289657"/>
    <s v="SO91158689657"/>
    <s v="51158608947"/>
    <d v="2026-04-29T00:00:00"/>
    <s v="1880594"/>
    <x v="13"/>
    <s v="Unknown Deduction"/>
    <n v="2019.6"/>
    <n v="2019.6"/>
    <d v="2026-06-22T00:00:00"/>
    <s v="Credit Team"/>
    <s v="Under Credit Team validation"/>
    <s v="No"/>
    <s v="N/A"/>
    <s v="UN"/>
    <n v="100101"/>
    <s v="James Mitchell"/>
    <n v="100111"/>
    <s v="Andrew Ross"/>
    <n v="4"/>
    <s v="Patrick Hayes"/>
    <s v="Andrew Ros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0787"/>
    <s v="PO4420130886"/>
    <s v="SO91158630886"/>
    <s v="51158646116"/>
    <d v="2026-05-12T00:00:00"/>
    <s v="1880594"/>
    <x v="13"/>
    <s v="Unknown Deduction"/>
    <n v="485.05"/>
    <n v="485.05"/>
    <d v="2026-06-22T00:00:00"/>
    <s v="Credit Team"/>
    <s v="Under Credit Team validation"/>
    <s v="No"/>
    <s v="N/A"/>
    <s v="UN"/>
    <n v="100141"/>
    <s v="Liam Matthews"/>
    <n v="100121"/>
    <s v="Olivia Jenkins"/>
    <n v="4"/>
    <s v="Patrick Hayes"/>
    <s v="Olivia Jenkin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1066"/>
    <s v="PO2526272116"/>
    <s v="SO91161872115"/>
    <s v="51161872425"/>
    <d v="2026-05-11T00:00:00"/>
    <s v="1880594"/>
    <x v="13"/>
    <s v="Unknown Deduction"/>
    <n v="110"/>
    <n v="110"/>
    <d v="2026-06-22T00:00:00"/>
    <s v="Credit Team"/>
    <s v="Under Credit Team validation"/>
    <s v="No"/>
    <s v="N/A"/>
    <s v="UN"/>
    <n v="100181"/>
    <s v="Ella Bennett"/>
    <n v="100151"/>
    <s v="Mason Reynolds"/>
    <n v="4"/>
    <s v="Patrick Hayes"/>
    <s v="Mason Reynold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1344"/>
    <s v="PO8019813344"/>
    <s v="SO90117613344"/>
    <s v="50117696514"/>
    <d v="2026-05-08T00:00:00"/>
    <s v="1880594"/>
    <x v="13"/>
    <s v="Unknown Deduction"/>
    <n v="13608"/>
    <n v="13608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1622"/>
    <s v="POMH/GP54574"/>
    <s v="SO91161354573"/>
    <s v="51161376973"/>
    <d v="2026-05-07T00:00:00"/>
    <s v="1880594"/>
    <x v="13"/>
    <s v="Unknown Deduction"/>
    <n v="100.8"/>
    <n v="100.8"/>
    <d v="2026-06-22T00:00:00"/>
    <s v="Credit Team"/>
    <s v="Under Credit Team validation"/>
    <s v="No"/>
    <s v="N/A"/>
    <s v="UN"/>
    <n v="100261"/>
    <s v="Taylor Jennings"/>
    <n v="100191"/>
    <s v="Dominic Flores"/>
    <n v="4"/>
    <s v="Patrick Hayes"/>
    <s v="Dominic Flore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1900"/>
    <s v="PO8016395802"/>
    <s v="SO90117695802"/>
    <s v="50117696512"/>
    <d v="2026-05-07T00:00:00"/>
    <s v="1880594"/>
    <x v="13"/>
    <s v="Unknown Deduction"/>
    <n v="137.6"/>
    <n v="137.6"/>
    <d v="2026-06-22T00:00:00"/>
    <s v="Credit Team"/>
    <s v="Under Credit Team validation"/>
    <s v="No"/>
    <s v="N/A"/>
    <s v="UN"/>
    <n v="100101"/>
    <s v="James Mitchell"/>
    <n v="100111"/>
    <s v="Andrew Ross"/>
    <n v="4"/>
    <s v="Patrick Hayes"/>
    <s v="Andrew Ros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2179"/>
    <s v="PO39U1537032"/>
    <s v="SO91160437031"/>
    <s v="51160445841"/>
    <d v="2026-04-27T00:00:00"/>
    <s v="1880594"/>
    <x v="13"/>
    <s v="Unknown Deduction"/>
    <n v="486"/>
    <n v="486"/>
    <d v="2026-06-22T00:00:00"/>
    <s v="Credit Team"/>
    <s v="Under Credit Team validation"/>
    <s v="No"/>
    <s v="N/A"/>
    <s v="UN"/>
    <n v="100141"/>
    <s v="Liam Matthews"/>
    <n v="100121"/>
    <s v="Olivia Jenkins"/>
    <n v="4"/>
    <s v="Patrick Hayes"/>
    <s v="Olivia Jenkin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2457"/>
    <s v="PO1014178261"/>
    <s v="SO90117778260"/>
    <s v="50117748400"/>
    <d v="2026-04-25T00:00:00"/>
    <s v="1880594"/>
    <x v="13"/>
    <s v="Unknown Deduction"/>
    <n v="8.3000000000000007"/>
    <n v="8.3000000000000007"/>
    <d v="2026-06-22T00:00:00"/>
    <s v="Credit Team"/>
    <s v="Under Credit Team validation"/>
    <s v="No"/>
    <s v="N/A"/>
    <s v="UN"/>
    <n v="100181"/>
    <s v="Ella Bennett"/>
    <n v="100151"/>
    <s v="Mason Reynolds"/>
    <n v="4"/>
    <s v="Patrick Hayes"/>
    <s v="Mason Reynold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2735"/>
    <s v="PO5841819489"/>
    <s v="SO91161619489"/>
    <s v="51161646779"/>
    <d v="2026-05-19T00:00:00"/>
    <s v="1880594"/>
    <x v="13"/>
    <s v="Unknown Deduction"/>
    <n v="3410"/>
    <n v="3410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3014"/>
    <s v="POPOJS43176"/>
    <s v="SO91151060718"/>
    <s v="51151026128"/>
    <d v="2026-05-19T00:00:00"/>
    <s v="1880594"/>
    <x v="13"/>
    <s v="Unknown Deduction"/>
    <n v="129.88999999999999"/>
    <n v="129.88999999999999"/>
    <d v="2026-06-22T00:00:00"/>
    <s v="Credit Team"/>
    <s v="Under Credit Team validation"/>
    <s v="No"/>
    <s v="N/A"/>
    <s v="UN"/>
    <n v="100261"/>
    <s v="Taylor Jennings"/>
    <n v="100191"/>
    <s v="Dominic Flores"/>
    <n v="4"/>
    <s v="Patrick Hayes"/>
    <s v="Dominic Flore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3292"/>
    <s v="POPOJS15595"/>
    <s v="SO91151001947"/>
    <s v="51151026087"/>
    <d v="2026-05-15T00:00:00"/>
    <s v="1880594"/>
    <x v="13"/>
    <s v="Unknown Deduction"/>
    <n v="17.670000000000002"/>
    <n v="17.670000000000002"/>
    <d v="2026-06-22T00:00:00"/>
    <s v="Credit Team"/>
    <s v="Under Credit Team validation"/>
    <s v="No"/>
    <s v="N/A"/>
    <s v="UN"/>
    <n v="100101"/>
    <s v="James Mitchell"/>
    <n v="100111"/>
    <s v="Andrew Ross"/>
    <n v="4"/>
    <s v="Patrick Hayes"/>
    <s v="Andrew Ros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3570"/>
    <s v="POPROX043177"/>
    <s v="SO91152143176"/>
    <s v="51152140926"/>
    <d v="2026-05-15T00:00:00"/>
    <s v="1880594"/>
    <x v="13"/>
    <s v="Unknown Deduction"/>
    <n v="50.01"/>
    <n v="50.01"/>
    <d v="2026-06-22T00:00:00"/>
    <s v="Credit Team"/>
    <s v="Under Credit Team validation"/>
    <s v="No"/>
    <s v="N/A"/>
    <s v="UN"/>
    <n v="100141"/>
    <s v="Liam Matthews"/>
    <n v="100121"/>
    <s v="Olivia Jenkins"/>
    <n v="4"/>
    <s v="Patrick Hayes"/>
    <s v="Olivia Jenkin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3848"/>
    <s v="PO9300884405"/>
    <s v="SO91159484405"/>
    <s v="51159472835"/>
    <d v="2026-05-14T00:00:00"/>
    <s v="1880594"/>
    <x v="13"/>
    <s v="Unknown Deduction"/>
    <n v="584.5"/>
    <n v="584.5"/>
    <d v="2026-06-22T00:00:00"/>
    <s v="Credit Team"/>
    <s v="Under Credit Team validation"/>
    <s v="No"/>
    <s v="N/A"/>
    <s v="UN"/>
    <n v="100181"/>
    <s v="Ella Bennett"/>
    <n v="100151"/>
    <s v="Mason Reynolds"/>
    <n v="4"/>
    <s v="Patrick Hayes"/>
    <s v="Mason Reynold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4127"/>
    <s v="PO4434025634"/>
    <s v="SO91158525634"/>
    <s v="51158586614"/>
    <d v="2026-05-14T00:00:00"/>
    <s v="1880594"/>
    <x v="13"/>
    <s v="Unknown Deduction"/>
    <n v="341.44"/>
    <n v="341.44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4405"/>
    <s v="PO4515066863"/>
    <s v="SO91161366863"/>
    <s v="51161379163"/>
    <d v="2026-05-12T00:00:00"/>
    <s v="1880594"/>
    <x v="13"/>
    <s v="Unknown Deduction"/>
    <n v="74.48"/>
    <n v="74.48"/>
    <d v="2026-06-22T00:00:00"/>
    <s v="Credit Team"/>
    <s v="Under Credit Team validation"/>
    <s v="No"/>
    <s v="N/A"/>
    <s v="UN"/>
    <n v="100261"/>
    <s v="Taylor Jennings"/>
    <n v="100191"/>
    <s v="Dominic Flores"/>
    <n v="4"/>
    <s v="Patrick Hayes"/>
    <s v="Dominic Flore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4683"/>
    <s v="PO5107108092"/>
    <s v="SO91162608092"/>
    <s v="51162631052"/>
    <d v="2026-05-19T00:00:00"/>
    <s v="1880594"/>
    <x v="13"/>
    <s v="Unknown Deduction"/>
    <n v="487.08"/>
    <n v="487.08"/>
    <d v="2026-06-22T00:00:00"/>
    <s v="Credit Team"/>
    <s v="Under Credit Team validation"/>
    <s v="No"/>
    <s v="N/A"/>
    <s v="UN"/>
    <n v="100101"/>
    <s v="James Mitchell"/>
    <n v="100111"/>
    <s v="Andrew Ross"/>
    <n v="4"/>
    <s v="Patrick Hayes"/>
    <s v="Andrew Ros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4962"/>
    <s v="PO2100349322"/>
    <s v="SO91162149321"/>
    <s v="51162147621"/>
    <d v="2026-05-14T00:00:00"/>
    <s v="1880594"/>
    <x v="13"/>
    <s v="Unknown Deduction"/>
    <n v="4256.99"/>
    <n v="4256.99"/>
    <d v="2026-06-22T00:00:00"/>
    <s v="Credit Team"/>
    <s v="Under Credit Team validation"/>
    <s v="No"/>
    <s v="N/A"/>
    <s v="UN"/>
    <n v="100141"/>
    <s v="Liam Matthews"/>
    <n v="100121"/>
    <s v="Olivia Jenkins"/>
    <n v="4"/>
    <s v="Patrick Hayes"/>
    <s v="Olivia Jenkin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5240"/>
    <s v="POT009790551"/>
    <s v="SO91160890550"/>
    <s v="51160814390"/>
    <d v="2026-05-15T00:00:00"/>
    <s v="1880594"/>
    <x v="13"/>
    <s v="Unknown Deduction"/>
    <n v="11871.96"/>
    <n v="11871.96"/>
    <d v="2026-06-22T00:00:00"/>
    <s v="Credit Team"/>
    <s v="Under Credit Team validation"/>
    <s v="No"/>
    <s v="N/A"/>
    <s v="UN"/>
    <n v="100181"/>
    <s v="Ella Bennett"/>
    <n v="100151"/>
    <s v="Mason Reynolds"/>
    <n v="4"/>
    <s v="Patrick Hayes"/>
    <s v="Mason Reynold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5518"/>
    <s v="PO4514731779"/>
    <s v="SO91161331779"/>
    <s v="51161379179"/>
    <d v="2026-05-13T00:00:00"/>
    <s v="1880594"/>
    <x v="13"/>
    <s v="Unknown Deduction"/>
    <n v="369.36"/>
    <n v="369.36"/>
    <d v="2026-06-22T00:00:00"/>
    <s v="Credit Team"/>
    <s v="Under Credit Team validation"/>
    <s v="No"/>
    <s v="N/A"/>
    <s v="UN"/>
    <n v="100221"/>
    <s v="Eli Hudson"/>
    <n v="100161"/>
    <s v="Connor Bishop"/>
    <n v="4"/>
    <s v="Patrick Hayes"/>
    <s v="Connor Bishop"/>
    <s v="Description -  This Req has been handled by Credit Team and this is related to Unknown Deduction"/>
  </r>
  <r>
    <s v="A100"/>
    <s v="AFRA100"/>
    <s v="A100-141"/>
    <d v="2026-06-18T00:00:00"/>
    <d v="2026-06-18T00:00:00"/>
    <s v="&lt;60"/>
    <s v="Africa"/>
    <n v="1"/>
    <n v="4975796"/>
    <s v="POT009773009"/>
    <s v="SO91160373008"/>
    <s v="51160376888"/>
    <d v="2026-06-16T00:00:00"/>
    <s v="1465326"/>
    <x v="21"/>
    <s v="Unknown Deduction"/>
    <n v="2000"/>
    <n v="2000"/>
    <d v="2026-06-22T00:00:00"/>
    <s v="Credit Team"/>
    <s v="Under Credit Team validation"/>
    <s v="No"/>
    <s v="N/A"/>
    <s v="UN"/>
    <n v="100261"/>
    <s v="Taylor Jennings"/>
    <n v="100191"/>
    <s v="Dominic Flores"/>
    <n v="4"/>
    <s v="Patrick Hayes"/>
    <s v="Dominic Flores"/>
    <s v="Description -  This Req has been handled by Credit Team and this is related to Unknown Deductio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4">
  <r>
    <s v="A100"/>
    <s v="AFRA100"/>
    <s v="A100-141"/>
    <d v="2021-04-05T00:00:00"/>
    <d v="2021-08-30T00:00:00"/>
    <s v="180+"/>
    <s v="Africa"/>
    <n v="1901"/>
    <n v="3276391"/>
    <s v="PO0925171630"/>
    <s v="SO90112071630"/>
    <s v="50112092510"/>
    <d v="2020-08-20T00:00:00"/>
    <s v="1355937"/>
    <s v="GE A 5937"/>
    <s v="Cancelled Order"/>
    <n v="18.43"/>
    <n v="3992"/>
    <d v="2026-06-22T00:00:00"/>
    <s v="Sales Team"/>
    <s v="Under Sales Team validation"/>
    <s v="No"/>
    <s v="N/A"/>
    <s v="CN"/>
    <n v="100111"/>
    <s v="Andrew Ross"/>
    <n v="100111"/>
    <s v="Andrew Ross"/>
    <n v="4"/>
    <x v="0"/>
    <s v="Andrew Ross"/>
    <s v="Description -  This Req has been handled by Sales Team and this is related to Cancelled Order"/>
  </r>
  <r>
    <s v="A100"/>
    <s v="AFRA100"/>
    <s v="A100-141"/>
    <d v="2021-06-19T00:00:00"/>
    <d v="2021-10-12T00:00:00"/>
    <s v="180+"/>
    <s v="Africa"/>
    <n v="1826"/>
    <n v="3321341"/>
    <s v="PO3006054088"/>
    <s v="SO91113054088"/>
    <s v="51113002478"/>
    <d v="2021-05-28T00:00:00"/>
    <s v="1355937"/>
    <s v="GE A 5937"/>
    <s v="Short Shipment"/>
    <n v="396.2"/>
    <n v="396.2"/>
    <d v="2026-06-22T00:00:00"/>
    <s v="Materials Team"/>
    <s v="Under Materials Team validation"/>
    <s v="No"/>
    <s v="N/A"/>
    <s v="SS"/>
    <n v="100131"/>
    <s v="Emily Coleman"/>
    <n v="100111"/>
    <s v="Andrew Ross"/>
    <n v="4"/>
    <x v="0"/>
    <s v="Andrew Ross"/>
    <s v="Description -  This Req has been handled by Materials Team and this is related to Short Shipment"/>
  </r>
  <r>
    <s v="A100"/>
    <s v="AFRA100"/>
    <s v="A100-141"/>
    <d v="2021-07-01T00:00:00"/>
    <d v="2021-10-14T00:00:00"/>
    <s v="180+"/>
    <s v="Africa"/>
    <n v="1814"/>
    <n v="3323191"/>
    <s v="PO4000295317"/>
    <s v="SO91108095317"/>
    <s v="51108086197"/>
    <d v="2021-06-17T00:00:00"/>
    <s v="1355937"/>
    <s v="GE A 5937"/>
    <s v="Short Shipment"/>
    <n v="1029.2"/>
    <n v="1029.2"/>
    <d v="2026-06-22T00:00:00"/>
    <s v="Materials Team"/>
    <s v="Under Materials Team validation"/>
    <s v="No"/>
    <s v="N/A"/>
    <s v="SS"/>
    <n v="100171"/>
    <s v="Sophia Turner"/>
    <n v="100121"/>
    <s v="Olivia Jenkins"/>
    <n v="4"/>
    <x v="0"/>
    <s v="Olivia Jenkins"/>
    <s v="Description -  This Req has been handled by Materials Team and this is related to Short Shipment"/>
  </r>
  <r>
    <s v="A100"/>
    <s v="AFRA100"/>
    <s v="A100-141"/>
    <d v="2021-07-15T00:00:00"/>
    <d v="2021-09-30T00:00:00"/>
    <s v="180+"/>
    <s v="Africa"/>
    <n v="1800"/>
    <n v="3332381"/>
    <s v="PO2376777775"/>
    <s v="SO90112477775"/>
    <s v="50112414225"/>
    <d v="2021-06-30T00:00:00"/>
    <s v="1355937"/>
    <s v="GE A 5937"/>
    <s v="Short Shipment"/>
    <n v="161.75"/>
    <n v="161.75"/>
    <d v="2026-06-22T00:00:00"/>
    <s v="Materials Team"/>
    <s v="Under Materials Team validation"/>
    <s v="No"/>
    <s v="N/A"/>
    <s v="SS"/>
    <n v="100211"/>
    <s v="Charles Benson"/>
    <n v="100151"/>
    <s v="Mason Reynolds"/>
    <n v="4"/>
    <x v="0"/>
    <s v="Mason Reynolds"/>
    <s v="Description -  This Req has been handled by Materials Team and this is related to Short Shipment"/>
  </r>
  <r>
    <s v="A100"/>
    <s v="AFRA100"/>
    <s v="A100-141"/>
    <d v="2021-09-17T00:00:00"/>
    <d v="2022-09-26T00:00:00"/>
    <s v="180+"/>
    <s v="Africa"/>
    <n v="1736"/>
    <n v="3411741"/>
    <s v="PO8454560233"/>
    <s v="SO90112860233"/>
    <s v="50112845453"/>
    <d v="2021-07-27T00:00:00"/>
    <s v="1355937"/>
    <s v="GE A 5937"/>
    <s v="Unknown Deduction"/>
    <n v="3.53"/>
    <n v="3.53"/>
    <d v="2026-06-22T00:00:00"/>
    <s v="Credit Team"/>
    <s v="Under Credit Team validation"/>
    <s v="No"/>
    <s v="N/A"/>
    <s v="UN"/>
    <n v="100101"/>
    <s v="James Mitchell"/>
    <n v="100111"/>
    <s v="Andrew Ross"/>
    <n v="4"/>
    <x v="0"/>
    <s v="Andrew Ross"/>
    <s v="Description -  This Req has been handled by Credit Team and this is related to Unknown Deduction"/>
  </r>
  <r>
    <s v="A100"/>
    <s v="AFRA100"/>
    <s v="A100-141"/>
    <d v="2021-12-10T00:00:00"/>
    <d v="2022-09-26T00:00:00"/>
    <s v="180+"/>
    <s v="Africa"/>
    <n v="1652"/>
    <n v="3451681"/>
    <s v="PO4000072523"/>
    <s v="SO91121172523"/>
    <s v="51121113173"/>
    <d v="2021-11-23T00:00:00"/>
    <s v="1355937"/>
    <s v="GE A 5937"/>
    <s v="Unknown Deduction"/>
    <n v="0.47"/>
    <n v="100"/>
    <d v="2026-06-22T00:00:00"/>
    <s v="Credit Team"/>
    <s v="Under Credit Team validation"/>
    <s v="No"/>
    <s v="N/A"/>
    <s v="UN"/>
    <n v="100141"/>
    <s v="Liam Matthews"/>
    <n v="100121"/>
    <s v="Olivia Jenkins"/>
    <n v="4"/>
    <x v="0"/>
    <s v="Olivia Jenkins"/>
    <s v="Description -  This Req has been handled by Credit Team and this is related to Unknown Deduction"/>
  </r>
  <r>
    <s v="A100"/>
    <s v="AFRA100"/>
    <s v="A100-141"/>
    <d v="2021-12-29T00:00:00"/>
    <d v="2022-09-26T00:00:00"/>
    <s v="180+"/>
    <s v="Africa"/>
    <n v="1633"/>
    <n v="3458121"/>
    <s v="PO4000096210"/>
    <s v="SO91121296210"/>
    <s v="51121260740"/>
    <d v="2021-12-15T00:00:00"/>
    <s v="1355937"/>
    <s v="GE A 5937"/>
    <s v="Unknown Deduction"/>
    <n v="11.34"/>
    <n v="1865"/>
    <d v="2026-06-22T00:00:00"/>
    <s v="Credit Team"/>
    <s v="Under Credit Team validation"/>
    <s v="No"/>
    <s v="N/A"/>
    <s v="UN"/>
    <n v="100181"/>
    <s v="Ella Bennett"/>
    <n v="100151"/>
    <s v="Mason Reynolds"/>
    <n v="4"/>
    <x v="0"/>
    <s v="Mason Reynolds"/>
    <s v="Description -  This Req has been handled by Credit Team and this is related to Unknown Deduction"/>
  </r>
  <r>
    <s v="A100"/>
    <s v="AFRA100"/>
    <s v="A100-141"/>
    <d v="2022-02-05T00:00:00"/>
    <d v="2022-02-05T00:00:00"/>
    <s v="180+"/>
    <s v="Africa"/>
    <n v="1595"/>
    <n v="3494891"/>
    <s v="PO3967802355"/>
    <s v="SO90113302355"/>
    <s v="50113396785"/>
    <d v="2022-01-14T00:00:00"/>
    <s v="1355937"/>
    <s v="GE A 5937"/>
    <s v="Unknown Deduction"/>
    <n v="159"/>
    <n v="159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2-03-10T00:00:00"/>
    <d v="2022-06-02T00:00:00"/>
    <s v="180+"/>
    <s v="Africa"/>
    <n v="1562"/>
    <n v="3507341"/>
    <s v="PO4000067271"/>
    <s v="SO91123867271"/>
    <s v="51123853671"/>
    <d v="2022-02-25T00:00:00"/>
    <s v="1355937"/>
    <s v="GE A 5937"/>
    <s v="Unknown Deduction"/>
    <n v="273.39"/>
    <n v="27835"/>
    <d v="2026-06-22T00:00:00"/>
    <s v="Credit Team"/>
    <s v="Under Credit Team validation"/>
    <s v="No"/>
    <s v="N/A"/>
    <s v="UN"/>
    <n v="100261"/>
    <s v="Taylor Jennings"/>
    <n v="100191"/>
    <s v="Dominic Flores"/>
    <n v="4"/>
    <x v="0"/>
    <s v="Dominic Flores"/>
    <s v="Description -  This Req has been handled by Credit Team and this is related to Unknown Deduction"/>
  </r>
  <r>
    <s v="A100"/>
    <s v="AFRA100"/>
    <s v="A100-141"/>
    <d v="2022-04-21T00:00:00"/>
    <d v="2022-04-21T00:00:00"/>
    <s v="180+"/>
    <s v="Africa"/>
    <n v="1520"/>
    <n v="3543041"/>
    <s v="PO4000055874"/>
    <s v="SO91125455874"/>
    <s v="51125487144"/>
    <d v="2022-04-07T00:00:00"/>
    <s v="1355937"/>
    <s v="GE A 5937"/>
    <s v="Unknown Deduction"/>
    <n v="1865"/>
    <n v="1865"/>
    <d v="2026-06-22T00:00:00"/>
    <s v="Credit Team"/>
    <s v="Under Credit Team validation"/>
    <s v="No"/>
    <s v="N/A"/>
    <s v="UN"/>
    <n v="100101"/>
    <s v="James Mitchell"/>
    <n v="100111"/>
    <s v="Andrew Ross"/>
    <n v="4"/>
    <x v="0"/>
    <s v="Andrew Ross"/>
    <s v="Description -  This Req has been handled by Credit Team and this is related to Unknown Deduction"/>
  </r>
  <r>
    <s v="A100"/>
    <s v="AFRA100"/>
    <s v="A100-141"/>
    <d v="2022-05-20T00:00:00"/>
    <d v="2022-05-20T00:00:00"/>
    <s v="180+"/>
    <s v="Africa"/>
    <n v="1491"/>
    <n v="3565881"/>
    <s v="PO3020520790"/>
    <s v="SO91126820790"/>
    <s v="51126815540"/>
    <d v="2022-05-11T00:00:00"/>
    <s v="1355937"/>
    <s v="GE A 5937"/>
    <s v="Unknown Deduction"/>
    <n v="150"/>
    <n v="150"/>
    <d v="2026-06-22T00:00:00"/>
    <s v="Credit Team"/>
    <s v="Under Credit Team validation"/>
    <s v="No"/>
    <s v="N/A"/>
    <s v="UN"/>
    <n v="100141"/>
    <s v="Liam Matthews"/>
    <n v="100121"/>
    <s v="Olivia Jenkins"/>
    <n v="4"/>
    <x v="0"/>
    <s v="Olivia Jenkins"/>
    <s v="Description -  This Req has been handled by Credit Team and this is related to Unknown Deduction"/>
  </r>
  <r>
    <s v="A100"/>
    <s v="AFRA100"/>
    <s v="A100-141"/>
    <d v="2022-05-20T00:00:00"/>
    <d v="2022-05-21T00:00:00"/>
    <s v="180+"/>
    <s v="Africa"/>
    <n v="1491"/>
    <n v="3570371"/>
    <s v="PO4000062019"/>
    <s v="SO91126862019"/>
    <s v="51126816369"/>
    <d v="2022-05-13T00:00:00"/>
    <s v="1355937"/>
    <s v="GE A 5937"/>
    <s v="Unknown Deduction"/>
    <n v="330.16"/>
    <n v="330.16"/>
    <d v="2026-06-22T00:00:00"/>
    <s v="Credit Team"/>
    <s v="Under Credit Team validation"/>
    <s v="No"/>
    <s v="N/A"/>
    <s v="UN"/>
    <n v="100181"/>
    <s v="Ella Bennett"/>
    <n v="100151"/>
    <s v="Mason Reynolds"/>
    <n v="4"/>
    <x v="0"/>
    <s v="Mason Reynolds"/>
    <s v="Description -  This Req has been handled by Credit Team and this is related to Unknown Deduction"/>
  </r>
  <r>
    <s v="A100"/>
    <s v="AFRA100"/>
    <s v="A100-141"/>
    <d v="2022-06-09T00:00:00"/>
    <d v="2022-08-19T00:00:00"/>
    <s v="180+"/>
    <s v="Africa"/>
    <n v="1471"/>
    <n v="3603501"/>
    <s v="PO9697144477"/>
    <s v="SO90113944477"/>
    <s v="50113969717"/>
    <d v="2022-05-23T00:00:00"/>
    <s v="1355937"/>
    <s v="GE A 5937"/>
    <s v="Unknown Deduction"/>
    <n v="1345.89"/>
    <n v="3971.04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2-08-17T00:00:00"/>
    <d v="2023-12-15T00:00:00"/>
    <s v="180+"/>
    <s v="Africa"/>
    <n v="1402"/>
    <n v="3659321"/>
    <s v="PO1966509393"/>
    <s v="SO90114109393"/>
    <s v="50114196653"/>
    <d v="2022-08-16T00:00:00"/>
    <s v="1355937"/>
    <s v="GE A 5937"/>
    <s v="Discount"/>
    <n v="498.15"/>
    <n v="498.15"/>
    <d v="2026-06-22T00:00:00"/>
    <s v="Credit Team"/>
    <s v="Under Credit Team validation"/>
    <s v="No"/>
    <s v="N/A"/>
    <s v="DI"/>
    <n v="100261"/>
    <s v="Taylor Jennings"/>
    <n v="100191"/>
    <s v="Dominic Flores"/>
    <n v="4"/>
    <x v="0"/>
    <s v="Dominic Flores"/>
    <s v="Description -  This Req has been handled by Credit Team and this is related to Discount"/>
  </r>
  <r>
    <s v="A100"/>
    <s v="AFRA100"/>
    <s v="A100-141"/>
    <d v="2022-09-07T00:00:00"/>
    <d v="2023-02-17T00:00:00"/>
    <s v="180+"/>
    <s v="Africa"/>
    <n v="1381"/>
    <n v="3673421"/>
    <s v="PO3020774309"/>
    <s v="SO91130974309"/>
    <s v="51130936049"/>
    <d v="2022-07-29T00:00:00"/>
    <s v="1355937"/>
    <s v="GE A 5937"/>
    <s v="Resolve with Buyer"/>
    <n v="150"/>
    <n v="150"/>
    <d v="2026-06-22T00:00:00"/>
    <s v="Sales Team"/>
    <s v="Under Sales Team validation"/>
    <s v="No"/>
    <s v="N/A"/>
    <s v="RB"/>
    <n v="100121"/>
    <s v="Olivia Jenkins"/>
    <n v="100121"/>
    <s v="Olivia Jenkins"/>
    <n v="4"/>
    <x v="0"/>
    <s v="Olivia Jenkins"/>
    <s v="Description -  This Req has been handled by Sales Team and this is related to Resolve with Buyer"/>
  </r>
  <r>
    <s v="A100"/>
    <s v="AFRA100"/>
    <s v="A100-141"/>
    <d v="2022-09-09T00:00:00"/>
    <d v="2022-11-24T00:00:00"/>
    <s v="180+"/>
    <s v="Africa"/>
    <n v="1379"/>
    <n v="3705781"/>
    <s v="PO4418115538"/>
    <s v="SO91128315538"/>
    <s v="51128354018"/>
    <d v="2022-08-23T00:00:00"/>
    <s v="1355937"/>
    <s v="GE A 5937"/>
    <s v="Unknown Deduction"/>
    <n v="1.35"/>
    <n v="219"/>
    <d v="2026-06-22T00:00:00"/>
    <s v="Credit Team"/>
    <s v="Under Credit Team validation"/>
    <s v="No"/>
    <s v="N/A"/>
    <s v="UN"/>
    <n v="100101"/>
    <s v="James Mitchell"/>
    <n v="100111"/>
    <s v="Andrew Ross"/>
    <n v="4"/>
    <x v="0"/>
    <s v="Andrew Ross"/>
    <s v="Description -  This Req has been handled by Credit Team and this is related to Unknown Deduction"/>
  </r>
  <r>
    <s v="A100"/>
    <s v="AFRA100"/>
    <s v="A100-141"/>
    <d v="2022-09-10T00:00:00"/>
    <d v="2022-10-19T00:00:00"/>
    <s v="180+"/>
    <s v="Africa"/>
    <n v="1378"/>
    <n v="3706571"/>
    <s v="PO4000056767"/>
    <s v="SO91132256767"/>
    <s v="51132294047"/>
    <d v="2022-08-29T00:00:00"/>
    <s v="1355937"/>
    <s v="GE A 5937"/>
    <s v="Unknown Deduction"/>
    <n v="25.32"/>
    <n v="2593.17"/>
    <d v="2026-06-22T00:00:00"/>
    <s v="Credit Team"/>
    <s v="Under Credit Team validation"/>
    <s v="No"/>
    <s v="N/A"/>
    <s v="UN"/>
    <n v="100141"/>
    <s v="Liam Matthews"/>
    <n v="100121"/>
    <s v="Olivia Jenkins"/>
    <n v="4"/>
    <x v="0"/>
    <s v="Olivia Jenkins"/>
    <s v="Description -  This Req has been handled by Credit Team and this is related to Unknown Deduction"/>
  </r>
  <r>
    <s v="A100"/>
    <s v="AFRA100"/>
    <s v="A100-141"/>
    <d v="2022-11-08T00:00:00"/>
    <d v="2022-11-10T00:00:00"/>
    <s v="180+"/>
    <s v="Africa"/>
    <n v="1319"/>
    <n v="3753181"/>
    <s v="PO4000027828"/>
    <s v="SO91133927828"/>
    <s v="51133918258"/>
    <d v="2022-10-20T00:00:00"/>
    <s v="1355937"/>
    <s v="GE A 5937"/>
    <s v="Discount"/>
    <n v="1034.6099999999999"/>
    <n v="1034.6099999999999"/>
    <d v="2026-06-22T00:00:00"/>
    <s v="Credit Team"/>
    <s v="Under Credit Team validation"/>
    <s v="No"/>
    <s v="N/A"/>
    <s v="DI"/>
    <n v="100181"/>
    <s v="Ella Bennett"/>
    <n v="100151"/>
    <s v="Mason Reynolds"/>
    <n v="4"/>
    <x v="0"/>
    <s v="Mason Reynolds"/>
    <s v="Description -  This Req has been handled by Credit Team and this is related to Discount"/>
  </r>
  <r>
    <s v="A100"/>
    <s v="AFRA100"/>
    <s v="A100-141"/>
    <d v="2022-11-18T00:00:00"/>
    <d v="2022-11-18T00:00:00"/>
    <s v="180+"/>
    <s v="Africa"/>
    <n v="1309"/>
    <n v="3764479"/>
    <s v="POC220792744"/>
    <s v="SO90114592744"/>
    <s v="50114552594"/>
    <d v="2022-11-02T00:00:00"/>
    <s v="1355937"/>
    <s v="GE A 5937"/>
    <s v="Discount"/>
    <n v="888.77"/>
    <n v="888.77"/>
    <d v="2026-06-22T00:00:00"/>
    <s v="Credit Team"/>
    <s v="Under Credit Team validation"/>
    <s v="No"/>
    <s v="N/A"/>
    <s v="DI"/>
    <n v="100221"/>
    <s v="Eli Hudson"/>
    <n v="100161"/>
    <s v="Connor Bishop"/>
    <n v="4"/>
    <x v="0"/>
    <s v="Connor Bishop"/>
    <s v="Description -  This Req has been handled by Credit Team and this is related to Discount"/>
  </r>
  <r>
    <s v="A100"/>
    <s v="AFRA100"/>
    <s v="A100-141"/>
    <d v="2022-11-18T00:00:00"/>
    <d v="2022-11-18T00:00:00"/>
    <s v="180+"/>
    <s v="Africa"/>
    <n v="1309"/>
    <n v="3767809"/>
    <s v="PO4417533973"/>
    <s v="SO91129233973"/>
    <s v="51129213383"/>
    <d v="2022-11-02T00:00:00"/>
    <s v="1355937"/>
    <s v="GE A 5937"/>
    <s v="Discount"/>
    <n v="888.77"/>
    <n v="888.77"/>
    <d v="2026-06-22T00:00:00"/>
    <s v="Credit Team"/>
    <s v="Under Credit Team validation"/>
    <s v="No"/>
    <s v="N/A"/>
    <s v="DI"/>
    <n v="100261"/>
    <s v="Taylor Jennings"/>
    <n v="100191"/>
    <s v="Dominic Flores"/>
    <n v="4"/>
    <x v="0"/>
    <s v="Dominic Flores"/>
    <s v="Description -  This Req has been handled by Credit Team and this is related to Discount"/>
  </r>
  <r>
    <s v="A100"/>
    <s v="AFRA100"/>
    <s v="A100-141"/>
    <d v="2022-11-18T00:00:00"/>
    <d v="2022-11-18T00:00:00"/>
    <s v="180+"/>
    <s v="Africa"/>
    <n v="1309"/>
    <n v="3773659"/>
    <s v="PO3008875202"/>
    <s v="SO91134775202"/>
    <s v="51134786532"/>
    <d v="2022-11-02T00:00:00"/>
    <s v="1355937"/>
    <s v="GE A 5937"/>
    <s v="Discount"/>
    <n v="296.26"/>
    <n v="296.26"/>
    <d v="2026-06-22T00:00:00"/>
    <s v="Credit Team"/>
    <s v="Under Credit Team validation"/>
    <s v="No"/>
    <s v="N/A"/>
    <s v="DI"/>
    <n v="100101"/>
    <s v="James Mitchell"/>
    <n v="100111"/>
    <s v="Andrew Ross"/>
    <n v="4"/>
    <x v="0"/>
    <s v="Andrew Ross"/>
    <s v="Description -  This Req has been handled by Credit Team and this is related to Discount"/>
  </r>
  <r>
    <s v="A100"/>
    <s v="AFRA100"/>
    <s v="A100-141"/>
    <d v="2022-12-14T00:00:00"/>
    <d v="2022-12-15T00:00:00"/>
    <s v="180+"/>
    <s v="Africa"/>
    <n v="1283"/>
    <n v="3792619"/>
    <s v="POC220898889"/>
    <s v="SO91131298889"/>
    <s v="51131284889"/>
    <d v="2022-11-29T00:00:00"/>
    <s v="1355937"/>
    <s v="GE A 5937"/>
    <s v="Discount"/>
    <n v="539.20000000000005"/>
    <n v="539.20000000000005"/>
    <d v="2026-06-22T00:00:00"/>
    <s v="Credit Team"/>
    <s v="Under Credit Team validation"/>
    <s v="No"/>
    <s v="N/A"/>
    <s v="DI"/>
    <n v="100141"/>
    <s v="Liam Matthews"/>
    <n v="100121"/>
    <s v="Olivia Jenkins"/>
    <n v="4"/>
    <x v="0"/>
    <s v="Olivia Jenkins"/>
    <s v="Description -  This Req has been handled by Credit Team and this is related to Discount"/>
  </r>
  <r>
    <s v="A100"/>
    <s v="AFRA100"/>
    <s v="A100-141"/>
    <d v="2023-03-03T00:00:00"/>
    <d v="2023-12-15T00:00:00"/>
    <s v="180+"/>
    <s v="Africa"/>
    <n v="1204"/>
    <n v="3853698"/>
    <s v="PO3006088385"/>
    <s v="SO91137788385"/>
    <s v="51137782005"/>
    <d v="2023-03-02T00:00:00"/>
    <s v="1355937"/>
    <s v="GE A 5937"/>
    <s v="Discount"/>
    <n v="1580.1"/>
    <n v="1580.1"/>
    <d v="2026-06-22T00:00:00"/>
    <s v="Credit Team"/>
    <s v="Under Credit Team validation"/>
    <s v="No"/>
    <s v="N/A"/>
    <s v="DI"/>
    <n v="100181"/>
    <s v="Ella Bennett"/>
    <n v="100151"/>
    <s v="Mason Reynolds"/>
    <n v="4"/>
    <x v="0"/>
    <s v="Mason Reynolds"/>
    <s v="Description -  This Req has been handled by Credit Team and this is related to Discount"/>
  </r>
  <r>
    <s v="A100"/>
    <s v="AFRA100"/>
    <s v="A100-141"/>
    <d v="2023-03-10T00:00:00"/>
    <d v="2023-03-10T00:00:00"/>
    <s v="180+"/>
    <s v="Africa"/>
    <n v="1197"/>
    <n v="3858828"/>
    <s v="POC221012072"/>
    <s v="SO91133712072"/>
    <s v="51133797972"/>
    <d v="2023-02-23T00:00:00"/>
    <s v="1355937"/>
    <s v="GE A 5937"/>
    <s v="Unknown Deduction"/>
    <n v="387.77"/>
    <n v="387.77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3-04-19T00:00:00"/>
    <d v="2023-12-15T00:00:00"/>
    <s v="180+"/>
    <s v="Africa"/>
    <n v="1157"/>
    <n v="3893018"/>
    <s v="POC221100675"/>
    <s v="SO91134600675"/>
    <s v="51134600075"/>
    <d v="2023-04-17T00:00:00"/>
    <s v="1355937"/>
    <s v="GE A 5937"/>
    <s v="Discount"/>
    <n v="546.62"/>
    <n v="546.62"/>
    <d v="2026-06-22T00:00:00"/>
    <s v="Credit Team"/>
    <s v="Under Credit Team validation"/>
    <s v="No"/>
    <s v="N/A"/>
    <s v="DI"/>
    <n v="100261"/>
    <s v="Taylor Jennings"/>
    <n v="100191"/>
    <s v="Dominic Flores"/>
    <n v="4"/>
    <x v="0"/>
    <s v="Dominic Flores"/>
    <s v="Description -  This Req has been handled by Credit Team and this is related to Discount"/>
  </r>
  <r>
    <s v="A100"/>
    <s v="AFRA100"/>
    <s v="A100-141"/>
    <d v="2023-04-28T00:00:00"/>
    <d v="2024-10-16T00:00:00"/>
    <s v="180+"/>
    <s v="Africa"/>
    <n v="1148"/>
    <n v="3901428"/>
    <s v="PO1221271736"/>
    <s v="SO90115171736"/>
    <s v="50115122126"/>
    <d v="2023-04-22T00:00:00"/>
    <s v="1355937"/>
    <s v="GE A 5937"/>
    <s v="PO Closed"/>
    <n v="5358.94"/>
    <n v="5358.94"/>
    <d v="2026-06-22T00:00:00"/>
    <s v="Sales Team"/>
    <s v="Under Sales Team validation"/>
    <s v="No"/>
    <s v="N/A"/>
    <s v="PC"/>
    <n v="100151"/>
    <s v="Mason Reynolds"/>
    <n v="100151"/>
    <s v="Mason Reynolds"/>
    <n v="4"/>
    <x v="0"/>
    <s v="Mason Reynolds"/>
    <s v="Description -  This Req has been handled by Sales Team and this is related to PO Closed"/>
  </r>
  <r>
    <s v="A100"/>
    <s v="AFRA100"/>
    <s v="A100-141"/>
    <d v="2023-05-10T00:00:00"/>
    <d v="2025-05-09T00:00:00"/>
    <s v="180+"/>
    <s v="Africa"/>
    <n v="1136"/>
    <n v="3929698"/>
    <s v="PO7472025255"/>
    <s v="SO91127425255"/>
    <s v="51127489015"/>
    <d v="2023-05-08T00:00:00"/>
    <s v="1355937"/>
    <s v="GE A 5937"/>
    <s v="Unknown Deduction"/>
    <n v="496.47"/>
    <n v="496.47"/>
    <d v="2026-06-22T00:00:00"/>
    <s v="Credit Team"/>
    <s v="Under Credit Team validation"/>
    <s v="No"/>
    <s v="N/A"/>
    <s v="UN"/>
    <n v="100101"/>
    <s v="James Mitchell"/>
    <n v="100111"/>
    <s v="Andrew Ross"/>
    <n v="4"/>
    <x v="0"/>
    <s v="Andrew Ross"/>
    <s v="Description -  This Req has been handled by Credit Team and this is related to Unknown Deduction"/>
  </r>
  <r>
    <s v="A100"/>
    <s v="AFRA100"/>
    <s v="A100-141"/>
    <d v="2023-06-01T00:00:00"/>
    <d v="2023-12-15T00:00:00"/>
    <s v="180+"/>
    <s v="Africa"/>
    <n v="1114"/>
    <n v="3932238"/>
    <s v="PO4416990171"/>
    <s v="SO91136390171"/>
    <s v="51136369641"/>
    <d v="2023-05-31T00:00:00"/>
    <s v="1355937"/>
    <s v="GE A 5937"/>
    <s v="Unknown Deduction"/>
    <n v="10.07"/>
    <n v="439.51"/>
    <d v="2026-06-22T00:00:00"/>
    <s v="Credit Team"/>
    <s v="Under Credit Team validation"/>
    <s v="No"/>
    <s v="N/A"/>
    <s v="UN"/>
    <n v="100141"/>
    <s v="Liam Matthews"/>
    <n v="100121"/>
    <s v="Olivia Jenkins"/>
    <n v="4"/>
    <x v="0"/>
    <s v="Olivia Jenkins"/>
    <s v="Description -  This Req has been handled by Credit Team and this is related to Unknown Deduction"/>
  </r>
  <r>
    <s v="A100"/>
    <s v="AFRA100"/>
    <s v="A100-141"/>
    <d v="2023-07-04T00:00:00"/>
    <d v="2025-05-09T00:00:00"/>
    <s v="180+"/>
    <s v="Africa"/>
    <n v="1081"/>
    <n v="3963127"/>
    <s v="PO4417849835"/>
    <s v="SO91137349835"/>
    <s v="51137319015"/>
    <d v="2023-06-30T00:00:00"/>
    <s v="1355937"/>
    <s v="GE A 5937"/>
    <s v="Unknown Deduction"/>
    <n v="567.25"/>
    <n v="567.25"/>
    <d v="2026-06-22T00:00:00"/>
    <s v="Credit Team"/>
    <s v="Under Credit Team validation"/>
    <s v="No"/>
    <s v="N/A"/>
    <s v="UN"/>
    <n v="100181"/>
    <s v="Ella Bennett"/>
    <n v="100151"/>
    <s v="Mason Reynolds"/>
    <n v="4"/>
    <x v="0"/>
    <s v="Mason Reynolds"/>
    <s v="Description -  This Req has been handled by Credit Team and this is related to Unknown Deduction"/>
  </r>
  <r>
    <s v="A100"/>
    <s v="AFRA100"/>
    <s v="A100-141"/>
    <d v="2023-07-14T00:00:00"/>
    <d v="2023-07-14T00:00:00"/>
    <s v="180+"/>
    <s v="Africa"/>
    <n v="1071"/>
    <n v="3973397"/>
    <s v="POC230287598"/>
    <s v="SO91137787598"/>
    <s v="51137732708"/>
    <d v="2023-06-29T00:00:00"/>
    <s v="1355937"/>
    <s v="GE A 5937"/>
    <s v="Unknown Deduction"/>
    <n v="758.94"/>
    <n v="758.94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3-08-09T00:00:00"/>
    <d v="2023-12-14T00:00:00"/>
    <s v="180+"/>
    <s v="Africa"/>
    <n v="1045"/>
    <n v="3988707"/>
    <s v="PO0441235865"/>
    <s v="SO94107035865"/>
    <s v="54107044125"/>
    <d v="2023-08-07T00:00:00"/>
    <s v="1355937"/>
    <s v="GE A 5937"/>
    <s v="Discount"/>
    <n v="1857.28"/>
    <n v="1857.28"/>
    <d v="2026-06-22T00:00:00"/>
    <s v="Credit Team"/>
    <s v="Under Credit Team validation"/>
    <s v="No"/>
    <s v="N/A"/>
    <s v="DI"/>
    <n v="100261"/>
    <s v="Taylor Jennings"/>
    <n v="100191"/>
    <s v="Dominic Flores"/>
    <n v="4"/>
    <x v="0"/>
    <s v="Dominic Flores"/>
    <s v="Description -  This Req has been handled by Credit Team and this is related to Discount"/>
  </r>
  <r>
    <s v="A100"/>
    <s v="AFRA100"/>
    <s v="A100-141"/>
    <d v="2023-08-12T00:00:00"/>
    <d v="2023-12-13T00:00:00"/>
    <s v="180+"/>
    <s v="Africa"/>
    <n v="1042"/>
    <n v="3992617"/>
    <s v="PO3006018323"/>
    <s v="SO91143318323"/>
    <s v="51143318033"/>
    <d v="2023-07-26T00:00:00"/>
    <s v="1355937"/>
    <s v="GE A 5937"/>
    <s v="Discount"/>
    <n v="1785.54"/>
    <n v="1785.54"/>
    <d v="2026-06-22T00:00:00"/>
    <s v="Credit Team"/>
    <s v="Under Credit Team validation"/>
    <s v="No"/>
    <s v="N/A"/>
    <s v="DI"/>
    <n v="100101"/>
    <s v="James Mitchell"/>
    <n v="100111"/>
    <s v="Andrew Ross"/>
    <n v="4"/>
    <x v="0"/>
    <s v="Andrew Ross"/>
    <s v="Description -  This Req has been handled by Credit Team and this is related to Discount"/>
  </r>
  <r>
    <s v="A100"/>
    <s v="AFRA100"/>
    <s v="A100-141"/>
    <d v="2023-08-15T00:00:00"/>
    <d v="2023-12-13T00:00:00"/>
    <s v="180+"/>
    <s v="Africa"/>
    <n v="1039"/>
    <n v="3993637"/>
    <s v="PO4416859552"/>
    <s v="SO91135159552"/>
    <s v="51135181752"/>
    <d v="2023-08-01T00:00:00"/>
    <s v="1355937"/>
    <s v="GE A 5937"/>
    <s v="Unknown Deduction"/>
    <n v="54.18"/>
    <n v="2033.31"/>
    <d v="2026-06-22T00:00:00"/>
    <s v="Credit Team"/>
    <s v="Under Credit Team validation"/>
    <s v="No"/>
    <s v="N/A"/>
    <s v="UN"/>
    <n v="100141"/>
    <s v="Liam Matthews"/>
    <n v="100121"/>
    <s v="Olivia Jenkins"/>
    <n v="4"/>
    <x v="0"/>
    <s v="Olivia Jenkins"/>
    <s v="Description -  This Req has been handled by Credit Team and this is related to Unknown Deduction"/>
  </r>
  <r>
    <s v="A100"/>
    <s v="AFRA100"/>
    <s v="A100-141"/>
    <d v="2023-08-24T00:00:00"/>
    <d v="2023-12-13T00:00:00"/>
    <s v="180+"/>
    <s v="Africa"/>
    <n v="1030"/>
    <n v="4006147"/>
    <s v="PO4419224468"/>
    <s v="SO91140324468"/>
    <s v="51140310188"/>
    <d v="2023-08-11T00:00:00"/>
    <s v="1355937"/>
    <s v="GE A 5937"/>
    <s v="Discount"/>
    <n v="724.42"/>
    <n v="724.42"/>
    <d v="2026-06-22T00:00:00"/>
    <s v="Credit Team"/>
    <s v="Under Credit Team validation"/>
    <s v="No"/>
    <s v="N/A"/>
    <s v="DI"/>
    <n v="100181"/>
    <s v="Ella Bennett"/>
    <n v="100151"/>
    <s v="Mason Reynolds"/>
    <n v="4"/>
    <x v="0"/>
    <s v="Mason Reynolds"/>
    <s v="Description -  This Req has been handled by Credit Team and this is related to Discount"/>
  </r>
  <r>
    <s v="A100"/>
    <s v="AFRA100"/>
    <s v="A100-141"/>
    <d v="2023-08-30T00:00:00"/>
    <d v="2023-12-13T00:00:00"/>
    <s v="180+"/>
    <s v="Africa"/>
    <n v="1024"/>
    <n v="4007117"/>
    <s v="PO4419360445"/>
    <s v="SO91140860445"/>
    <s v="51140866355"/>
    <d v="2023-08-17T00:00:00"/>
    <s v="1355937"/>
    <s v="GE A 5937"/>
    <s v="Unknown Deduction"/>
    <n v="777.04"/>
    <n v="777.04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3-09-29T00:00:00"/>
    <d v="2023-12-13T00:00:00"/>
    <s v="180+"/>
    <s v="Africa"/>
    <n v="994"/>
    <n v="4039836"/>
    <s v="PO4419237651"/>
    <s v="SO91141037651"/>
    <s v="51141079771"/>
    <d v="2023-09-18T00:00:00"/>
    <s v="1355937"/>
    <s v="GE A 5937"/>
    <s v="Discount"/>
    <n v="504.47"/>
    <n v="504.47"/>
    <d v="2026-06-22T00:00:00"/>
    <s v="Credit Team"/>
    <s v="Under Credit Team validation"/>
    <s v="No"/>
    <s v="N/A"/>
    <s v="DI"/>
    <n v="100261"/>
    <s v="Taylor Jennings"/>
    <n v="100191"/>
    <s v="Dominic Flores"/>
    <n v="4"/>
    <x v="0"/>
    <s v="Dominic Flores"/>
    <s v="Description -  This Req has been handled by Credit Team and this is related to Discount"/>
  </r>
  <r>
    <s v="A100"/>
    <s v="AFRA100"/>
    <s v="A100-141"/>
    <d v="2023-10-04T00:00:00"/>
    <d v="2023-12-15T00:00:00"/>
    <s v="180+"/>
    <s v="Africa"/>
    <n v="989"/>
    <n v="4039816"/>
    <s v="PO4419178880"/>
    <s v="SO91141078880"/>
    <s v="51141079730"/>
    <d v="2023-10-02T00:00:00"/>
    <s v="1355937"/>
    <s v="GE A 5937"/>
    <s v="Discount"/>
    <n v="439.16"/>
    <n v="439.16"/>
    <d v="2026-06-22T00:00:00"/>
    <s v="Credit Team"/>
    <s v="Under Credit Team validation"/>
    <s v="No"/>
    <s v="N/A"/>
    <s v="DI"/>
    <n v="100101"/>
    <s v="James Mitchell"/>
    <n v="100111"/>
    <s v="Andrew Ross"/>
    <n v="4"/>
    <x v="0"/>
    <s v="Andrew Ross"/>
    <s v="Description -  This Req has been handled by Credit Team and this is related to Discount"/>
  </r>
  <r>
    <s v="A100"/>
    <s v="AFRA100"/>
    <s v="A100-141"/>
    <d v="2023-10-07T00:00:00"/>
    <d v="2023-12-13T00:00:00"/>
    <s v="180+"/>
    <s v="Africa"/>
    <n v="986"/>
    <n v="4042336"/>
    <s v="PO4417869269"/>
    <s v="SO91141169269"/>
    <s v="51141103759"/>
    <d v="2023-09-25T00:00:00"/>
    <s v="1355937"/>
    <s v="GE A 5937"/>
    <s v="Discount"/>
    <n v="445.06"/>
    <n v="445.06"/>
    <d v="2026-06-22T00:00:00"/>
    <s v="Credit Team"/>
    <s v="Under Credit Team validation"/>
    <s v="No"/>
    <s v="N/A"/>
    <s v="DI"/>
    <n v="100141"/>
    <s v="Liam Matthews"/>
    <n v="100121"/>
    <s v="Olivia Jenkins"/>
    <n v="4"/>
    <x v="0"/>
    <s v="Olivia Jenkins"/>
    <s v="Description -  This Req has been handled by Credit Team and this is related to Discount"/>
  </r>
  <r>
    <s v="A100"/>
    <s v="AFRA100"/>
    <s v="A100-141"/>
    <d v="2023-10-28T00:00:00"/>
    <d v="2024-04-10T00:00:00"/>
    <s v="180+"/>
    <s v="Africa"/>
    <n v="965"/>
    <n v="4043756"/>
    <s v="PO3006092956"/>
    <s v="SO91145192956"/>
    <s v="51145127686"/>
    <d v="2022-04-01T00:00:00"/>
    <s v="1355937"/>
    <s v="GE A 5937"/>
    <s v="Wrong PO Number"/>
    <n v="630.16"/>
    <n v="630.16"/>
    <d v="2026-06-22T00:00:00"/>
    <s v="Sales Team"/>
    <s v="Under Sales Team validation"/>
    <s v="No"/>
    <s v="N/A"/>
    <s v="WP"/>
    <n v="100161"/>
    <s v="Connor Bishop"/>
    <n v="100161"/>
    <s v="Connor Bishop"/>
    <n v="4"/>
    <x v="0"/>
    <s v="Connor Bishop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54126"/>
    <s v="PO8036834185"/>
    <s v="SO90115834185"/>
    <s v="50115803685"/>
    <d v="2022-04-01T00:00:00"/>
    <s v="1355937"/>
    <s v="GE A 5937"/>
    <s v="Wrong PO Number"/>
    <n v="630.16"/>
    <n v="630.16"/>
    <d v="2026-06-22T00:00:00"/>
    <s v="Sales Team"/>
    <s v="Under Sales Team validation"/>
    <s v="No"/>
    <s v="N/A"/>
    <s v="WP"/>
    <n v="100191"/>
    <s v="Dominic Flores"/>
    <n v="100191"/>
    <s v="Dominic Flores"/>
    <n v="4"/>
    <x v="0"/>
    <s v="Dominic Flore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306"/>
    <s v="PO4000175414"/>
    <s v="SO91133475414"/>
    <s v="51133426574"/>
    <d v="2022-04-01T00:00:00"/>
    <s v="1355937"/>
    <s v="GE A 5937"/>
    <s v="Wrong PO Number"/>
    <n v="630.16"/>
    <n v="630.16"/>
    <d v="2026-06-22T00:00:00"/>
    <s v="Sales Team"/>
    <s v="Under Sales Team validation"/>
    <s v="No"/>
    <s v="N/A"/>
    <s v="WP"/>
    <n v="100201"/>
    <s v="Aiden Harper"/>
    <n v="100201"/>
    <s v="Aiden Harper"/>
    <n v="4"/>
    <x v="0"/>
    <s v="Aiden Harper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856"/>
    <s v="POON EX16643"/>
    <s v="SO91125216643"/>
    <s v="51125249803"/>
    <d v="2022-04-01T00:00:00"/>
    <s v="1355937"/>
    <s v="GE A 5937"/>
    <s v="Wrong PO Number"/>
    <n v="630.16"/>
    <n v="630.16"/>
    <d v="2026-06-22T00:00:00"/>
    <s v="Sales Team"/>
    <s v="Under Sales Team validation"/>
    <s v="No"/>
    <s v="N/A"/>
    <s v="WP"/>
    <n v="100231"/>
    <s v="Jackson Norris"/>
    <n v="100231"/>
    <s v="Jackson Norris"/>
    <n v="4"/>
    <x v="0"/>
    <s v="Jackson Norri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436"/>
    <s v="POON EX57872"/>
    <s v="SO91125157872"/>
    <s v="51125154672"/>
    <d v="2022-04-01T00:00:00"/>
    <s v="1355937"/>
    <s v="GE A 5937"/>
    <s v="Wrong PO Number"/>
    <n v="630.16"/>
    <n v="630.16"/>
    <d v="2026-06-22T00:00:00"/>
    <s v="Sales Team"/>
    <s v="Under Sales Team validation"/>
    <s v="No"/>
    <s v="N/A"/>
    <s v="WP"/>
    <n v="100241"/>
    <s v="Leah Pearson"/>
    <n v="100241"/>
    <s v="Leah Pearson"/>
    <n v="4"/>
    <x v="0"/>
    <s v="Leah Pearson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816"/>
    <s v="POON EX99101"/>
    <s v="SO91125199101"/>
    <s v="51125154771"/>
    <d v="2022-04-01T00:00:00"/>
    <s v="1355937"/>
    <s v="GE A 5937"/>
    <s v="Wrong PO Number"/>
    <n v="1606.06"/>
    <n v="1606.06"/>
    <d v="2026-06-22T00:00:00"/>
    <s v="Sales Team"/>
    <s v="Under Sales Team validation"/>
    <s v="No"/>
    <s v="N/A"/>
    <s v="WP"/>
    <n v="100271"/>
    <s v="Brooke Palmer"/>
    <n v="100271"/>
    <s v="Brooke Palmer"/>
    <n v="4"/>
    <x v="0"/>
    <s v="Brooke Palmer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766"/>
    <s v="POON EX40330"/>
    <s v="SO91125140330"/>
    <s v="51125154760"/>
    <d v="2022-04-01T00:00:00"/>
    <s v="1355937"/>
    <s v="GE A 5937"/>
    <s v="Wrong PO Number"/>
    <n v="750"/>
    <n v="750"/>
    <d v="2026-06-22T00:00:00"/>
    <s v="Sales Team"/>
    <s v="Under Sales Team validation"/>
    <s v="No"/>
    <s v="N/A"/>
    <s v="WP"/>
    <n v="100281"/>
    <s v="Grace Whitaker"/>
    <n v="100281"/>
    <s v="Grace Whitaker"/>
    <n v="4"/>
    <x v="0"/>
    <s v="Grace Whitaker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636"/>
    <s v="POON EX81559"/>
    <s v="SO91125181559"/>
    <s v="51125154809"/>
    <d v="2022-04-01T00:00:00"/>
    <s v="1355937"/>
    <s v="GE A 5937"/>
    <s v="Wrong PO Number"/>
    <n v="780.16"/>
    <n v="780.16"/>
    <d v="2026-06-22T00:00:00"/>
    <s v="Sales Team"/>
    <s v="Under Sales Team validation"/>
    <s v="No"/>
    <s v="N/A"/>
    <s v="WP"/>
    <n v="100111"/>
    <s v="Andrew Ross"/>
    <n v="100111"/>
    <s v="Andrew Ross"/>
    <n v="4"/>
    <x v="0"/>
    <s v="Andrew Ros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736"/>
    <s v="POON EX22788"/>
    <s v="SO91125122788"/>
    <s v="51125154798"/>
    <d v="2022-04-01T00:00:00"/>
    <s v="1355937"/>
    <s v="GE A 5937"/>
    <s v="Wrong PO Number"/>
    <n v="900"/>
    <n v="900"/>
    <d v="2026-06-22T00:00:00"/>
    <s v="Sales Team"/>
    <s v="Under Sales Team validation"/>
    <s v="No"/>
    <s v="N/A"/>
    <s v="WP"/>
    <n v="100121"/>
    <s v="Olivia Jenkins"/>
    <n v="100121"/>
    <s v="Olivia Jenkins"/>
    <n v="4"/>
    <x v="0"/>
    <s v="Olivia Jenkin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426"/>
    <s v="POON EX64017"/>
    <s v="SO91125164017"/>
    <s v="51125154817"/>
    <d v="2022-04-01T00:00:00"/>
    <s v="1355937"/>
    <s v="GE A 5937"/>
    <s v="Wrong PO Number"/>
    <n v="900"/>
    <n v="900"/>
    <d v="2026-06-22T00:00:00"/>
    <s v="Sales Team"/>
    <s v="Under Sales Team validation"/>
    <s v="No"/>
    <s v="N/A"/>
    <s v="WP"/>
    <n v="100151"/>
    <s v="Mason Reynolds"/>
    <n v="100151"/>
    <s v="Mason Reynolds"/>
    <n v="4"/>
    <x v="0"/>
    <s v="Mason Reynold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896"/>
    <s v="POON EX05246"/>
    <s v="SO91125105246"/>
    <s v="51125154716"/>
    <d v="2022-04-01T00:00:00"/>
    <s v="1355937"/>
    <s v="GE A 5937"/>
    <s v="Wrong PO Number"/>
    <n v="630.16"/>
    <n v="630.16"/>
    <d v="2026-06-22T00:00:00"/>
    <s v="Sales Team"/>
    <s v="Under Sales Team validation"/>
    <s v="No"/>
    <s v="N/A"/>
    <s v="WP"/>
    <n v="100161"/>
    <s v="Connor Bishop"/>
    <n v="100161"/>
    <s v="Connor Bishop"/>
    <n v="4"/>
    <x v="0"/>
    <s v="Connor Bishop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806"/>
    <s v="POON EX46475"/>
    <s v="SO91125146475"/>
    <s v="51125154625"/>
    <d v="2022-04-01T00:00:00"/>
    <s v="1355937"/>
    <s v="GE A 5937"/>
    <s v="Wrong PO Number"/>
    <n v="630.16"/>
    <n v="630.16"/>
    <d v="2026-06-22T00:00:00"/>
    <s v="Sales Team"/>
    <s v="Under Sales Team validation"/>
    <s v="No"/>
    <s v="N/A"/>
    <s v="WP"/>
    <n v="100191"/>
    <s v="Dominic Flores"/>
    <n v="100191"/>
    <s v="Dominic Flores"/>
    <n v="4"/>
    <x v="0"/>
    <s v="Dominic Flore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726"/>
    <s v="POEXPEN87704"/>
    <s v="SO91125187704"/>
    <s v="51125154654"/>
    <d v="2022-04-01T00:00:00"/>
    <s v="1355937"/>
    <s v="GE A 5937"/>
    <s v="Wrong PO Number"/>
    <n v="630.16"/>
    <n v="630.16"/>
    <d v="2026-06-22T00:00:00"/>
    <s v="Sales Team"/>
    <s v="Under Sales Team validation"/>
    <s v="No"/>
    <s v="N/A"/>
    <s v="WP"/>
    <n v="100201"/>
    <s v="Aiden Harper"/>
    <n v="100201"/>
    <s v="Aiden Harper"/>
    <n v="4"/>
    <x v="0"/>
    <s v="Aiden Harper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606"/>
    <s v="POON EX28933"/>
    <s v="SO91125128933"/>
    <s v="51125154663"/>
    <d v="2022-04-01T00:00:00"/>
    <s v="1355937"/>
    <s v="GE A 5937"/>
    <s v="Wrong PO Number"/>
    <n v="630.16"/>
    <n v="630.16"/>
    <d v="2026-06-22T00:00:00"/>
    <s v="Sales Team"/>
    <s v="Under Sales Team validation"/>
    <s v="No"/>
    <s v="N/A"/>
    <s v="WP"/>
    <n v="100231"/>
    <s v="Jackson Norris"/>
    <n v="100231"/>
    <s v="Jackson Norris"/>
    <n v="4"/>
    <x v="0"/>
    <s v="Jackson Norri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846"/>
    <s v="POON EX70162"/>
    <s v="SO91125170162"/>
    <s v="51125154692"/>
    <d v="2022-04-01T00:00:00"/>
    <s v="1355937"/>
    <s v="GE A 5937"/>
    <s v="Wrong PO Number"/>
    <n v="630.16"/>
    <n v="630.16"/>
    <d v="2026-06-22T00:00:00"/>
    <s v="Sales Team"/>
    <s v="Under Sales Team validation"/>
    <s v="No"/>
    <s v="N/A"/>
    <s v="WP"/>
    <n v="100241"/>
    <s v="Leah Pearson"/>
    <n v="100241"/>
    <s v="Leah Pearson"/>
    <n v="4"/>
    <x v="0"/>
    <s v="Leah Pearson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616"/>
    <s v="POON EX11391"/>
    <s v="SO91125111391"/>
    <s v="51125154721"/>
    <d v="2022-04-01T00:00:00"/>
    <s v="1355937"/>
    <s v="GE A 5937"/>
    <s v="Wrong PO Number"/>
    <n v="630.16"/>
    <n v="630.16"/>
    <d v="2026-06-22T00:00:00"/>
    <s v="Sales Team"/>
    <s v="Under Sales Team validation"/>
    <s v="No"/>
    <s v="N/A"/>
    <s v="WP"/>
    <n v="100271"/>
    <s v="Brooke Palmer"/>
    <n v="100271"/>
    <s v="Brooke Palmer"/>
    <n v="4"/>
    <x v="0"/>
    <s v="Brooke Palmer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626"/>
    <s v="POON EX52620"/>
    <s v="SO91125152620"/>
    <s v="51125154700"/>
    <d v="2022-04-01T00:00:00"/>
    <s v="1355937"/>
    <s v="GE A 5937"/>
    <s v="Wrong PO Number"/>
    <n v="930.16"/>
    <n v="930.16"/>
    <d v="2026-06-22T00:00:00"/>
    <s v="Sales Team"/>
    <s v="Under Sales Team validation"/>
    <s v="No"/>
    <s v="N/A"/>
    <s v="WP"/>
    <n v="100281"/>
    <s v="Grace Whitaker"/>
    <n v="100281"/>
    <s v="Grace Whitaker"/>
    <n v="4"/>
    <x v="0"/>
    <s v="Grace Whitaker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866"/>
    <s v="POON EX93849"/>
    <s v="SO91125193849"/>
    <s v="51125154739"/>
    <d v="2022-04-01T00:00:00"/>
    <s v="1355937"/>
    <s v="GE A 5937"/>
    <s v="Wrong PO Number"/>
    <n v="630.16"/>
    <n v="630.16"/>
    <d v="2026-06-22T00:00:00"/>
    <s v="Sales Team"/>
    <s v="Under Sales Team validation"/>
    <s v="No"/>
    <s v="N/A"/>
    <s v="WP"/>
    <n v="100111"/>
    <s v="Andrew Ross"/>
    <n v="100111"/>
    <s v="Andrew Ross"/>
    <n v="4"/>
    <x v="0"/>
    <s v="Andrew Ros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786"/>
    <s v="POON EX35078"/>
    <s v="SO91125135078"/>
    <s v="51125154788"/>
    <d v="2022-04-01T00:00:00"/>
    <s v="1355937"/>
    <s v="GE A 5937"/>
    <s v="Wrong PO Number"/>
    <n v="1575.9"/>
    <n v="1575.9"/>
    <d v="2026-06-22T00:00:00"/>
    <s v="Sales Team"/>
    <s v="Under Sales Team validation"/>
    <s v="No"/>
    <s v="N/A"/>
    <s v="WP"/>
    <n v="100121"/>
    <s v="Olivia Jenkins"/>
    <n v="100121"/>
    <s v="Olivia Jenkins"/>
    <n v="4"/>
    <x v="0"/>
    <s v="Olivia Jenkin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656"/>
    <s v="POON EX76307"/>
    <s v="SO91125176307"/>
    <s v="51125154747"/>
    <d v="2022-04-01T00:00:00"/>
    <s v="1355937"/>
    <s v="GE A 5937"/>
    <s v="Wrong PO Number"/>
    <n v="630.16"/>
    <n v="630.16"/>
    <d v="2026-06-22T00:00:00"/>
    <s v="Sales Team"/>
    <s v="Under Sales Team validation"/>
    <s v="No"/>
    <s v="N/A"/>
    <s v="WP"/>
    <n v="100151"/>
    <s v="Mason Reynolds"/>
    <n v="100151"/>
    <s v="Mason Reynolds"/>
    <n v="4"/>
    <x v="0"/>
    <s v="Mason Reynolds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796"/>
    <s v="POON EX17536"/>
    <s v="SO91125117536"/>
    <s v="51125154686"/>
    <d v="2022-04-01T00:00:00"/>
    <s v="1355937"/>
    <s v="GE A 5937"/>
    <s v="Wrong PO Number"/>
    <n v="630.16"/>
    <n v="630.16"/>
    <d v="2026-06-22T00:00:00"/>
    <s v="Sales Team"/>
    <s v="Under Sales Team validation"/>
    <s v="No"/>
    <s v="N/A"/>
    <s v="WP"/>
    <n v="100161"/>
    <s v="Connor Bishop"/>
    <n v="100161"/>
    <s v="Connor Bishop"/>
    <n v="4"/>
    <x v="0"/>
    <s v="Connor Bishop"/>
    <s v="Description -  This Req has been handled by Sales Team and this is related to Wrong PO Number"/>
  </r>
  <r>
    <s v="A100"/>
    <s v="AFRA100"/>
    <s v="A100-141"/>
    <d v="2023-10-28T00:00:00"/>
    <d v="2024-10-16T00:00:00"/>
    <s v="180+"/>
    <s v="Africa"/>
    <n v="965"/>
    <n v="4062776"/>
    <s v="POON EX58765"/>
    <s v="SO91125158765"/>
    <s v="51125154635"/>
    <d v="2022-04-01T00:00:00"/>
    <s v="1355937"/>
    <s v="GE A 5937"/>
    <s v="Wrong PO Number"/>
    <n v="600"/>
    <n v="600"/>
    <d v="2026-06-22T00:00:00"/>
    <s v="Sales Team"/>
    <s v="Under Sales Team validation"/>
    <s v="No"/>
    <s v="N/A"/>
    <s v="WP"/>
    <n v="100191"/>
    <s v="Dominic Flores"/>
    <n v="100191"/>
    <s v="Dominic Flores"/>
    <n v="4"/>
    <x v="0"/>
    <s v="Dominic Flores"/>
    <s v="Description -  This Req has been handled by Sales Team and this is related to Wrong PO Number"/>
  </r>
  <r>
    <s v="A100"/>
    <s v="AFRA100"/>
    <s v="A100-141"/>
    <d v="2023-11-02T00:00:00"/>
    <d v="2023-12-13T00:00:00"/>
    <s v="180+"/>
    <s v="Africa"/>
    <n v="960"/>
    <n v="4062646"/>
    <s v="POON EX41223"/>
    <s v="SO91125241223"/>
    <s v="51125249813"/>
    <d v="2023-10-23T00:00:00"/>
    <s v="1355937"/>
    <s v="GE A 5937"/>
    <s v="Discount"/>
    <n v="1476.07"/>
    <n v="1476.07"/>
    <d v="2026-06-22T00:00:00"/>
    <s v="Credit Team"/>
    <s v="Under Credit Team validation"/>
    <s v="No"/>
    <s v="N/A"/>
    <s v="DI"/>
    <n v="100181"/>
    <s v="Ella Bennett"/>
    <n v="100151"/>
    <s v="Mason Reynolds"/>
    <n v="4"/>
    <x v="0"/>
    <s v="Mason Reynolds"/>
    <s v="Description -  This Req has been handled by Credit Team and this is related to Discount"/>
  </r>
  <r>
    <s v="A100"/>
    <s v="AFRA100"/>
    <s v="A100-141"/>
    <d v="2023-11-03T00:00:00"/>
    <d v="2023-12-13T00:00:00"/>
    <s v="180+"/>
    <s v="Africa"/>
    <n v="959"/>
    <n v="4068116"/>
    <s v="PO4418895635"/>
    <s v="SO91142195635"/>
    <s v="51142130555"/>
    <d v="2023-10-27T00:00:00"/>
    <s v="1355937"/>
    <s v="GE A 5937"/>
    <s v="Unknown Deduction"/>
    <n v="250"/>
    <n v="250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3-11-22T00:00:00"/>
    <d v="2023-12-15T00:00:00"/>
    <s v="180+"/>
    <s v="Africa"/>
    <n v="940"/>
    <n v="4072056"/>
    <s v="PO4417249154"/>
    <s v="SO91127649154"/>
    <s v="51127664074"/>
    <d v="2023-11-20T00:00:00"/>
    <s v="1355937"/>
    <s v="GE A 5937"/>
    <s v="Discount"/>
    <n v="2666.68"/>
    <n v="2666.68"/>
    <d v="2026-06-22T00:00:00"/>
    <s v="Credit Team"/>
    <s v="Under Credit Team validation"/>
    <s v="No"/>
    <s v="N/A"/>
    <s v="DI"/>
    <n v="100261"/>
    <s v="Taylor Jennings"/>
    <n v="100191"/>
    <s v="Dominic Flores"/>
    <n v="4"/>
    <x v="0"/>
    <s v="Dominic Flores"/>
    <s v="Description -  This Req has been handled by Credit Team and this is related to Discount"/>
  </r>
  <r>
    <s v="A100"/>
    <s v="AFRA100"/>
    <s v="A100-141"/>
    <d v="2023-12-09T00:00:00"/>
    <d v="2023-12-13T00:00:00"/>
    <s v="180+"/>
    <s v="Africa"/>
    <n v="923"/>
    <n v="4090616"/>
    <s v="PO4419308818"/>
    <s v="SO91142708818"/>
    <s v="51142739298"/>
    <d v="2023-11-21T00:00:00"/>
    <s v="1355937"/>
    <s v="GE A 5937"/>
    <s v="Discount"/>
    <n v="564.30999999999995"/>
    <n v="564.30999999999995"/>
    <d v="2026-06-22T00:00:00"/>
    <s v="Credit Team"/>
    <s v="Under Credit Team validation"/>
    <s v="No"/>
    <s v="N/A"/>
    <s v="DI"/>
    <n v="100101"/>
    <s v="James Mitchell"/>
    <n v="100111"/>
    <s v="Andrew Ross"/>
    <n v="4"/>
    <x v="0"/>
    <s v="Andrew Ross"/>
    <s v="Description -  This Req has been handled by Credit Team and this is related to Discount"/>
  </r>
  <r>
    <s v="A100"/>
    <s v="AFRA100"/>
    <s v="A100-141"/>
    <d v="2023-12-14T00:00:00"/>
    <d v="2023-12-15T00:00:00"/>
    <s v="180+"/>
    <s v="Africa"/>
    <n v="918"/>
    <n v="4094056"/>
    <s v="PO4419532505"/>
    <s v="SO91142832505"/>
    <s v="51142801605"/>
    <d v="2023-12-12T00:00:00"/>
    <s v="1355937"/>
    <s v="GE A 5937"/>
    <s v="Discount"/>
    <n v="760.21"/>
    <n v="760.21"/>
    <d v="2026-06-22T00:00:00"/>
    <s v="Credit Team"/>
    <s v="Under Credit Team validation"/>
    <s v="No"/>
    <s v="N/A"/>
    <s v="DI"/>
    <n v="100141"/>
    <s v="Liam Matthews"/>
    <n v="100121"/>
    <s v="Olivia Jenkins"/>
    <n v="4"/>
    <x v="0"/>
    <s v="Olivia Jenkins"/>
    <s v="Description -  This Req has been handled by Credit Team and this is related to Discount"/>
  </r>
  <r>
    <s v="A100"/>
    <s v="AFRA100"/>
    <s v="A100-141"/>
    <d v="2024-01-06T00:00:00"/>
    <d v="2026-05-20T00:00:00"/>
    <s v="180+"/>
    <s v="Africa"/>
    <n v="895"/>
    <n v="4094086"/>
    <s v="PO4419414963"/>
    <s v="SO91142414963"/>
    <s v="51142436833"/>
    <d v="2024-01-03T00:00:00"/>
    <s v="1023247"/>
    <s v="HONE 3247"/>
    <s v="RMA Number Needed"/>
    <n v="16313.22"/>
    <n v="16313.22"/>
    <d v="2026-06-15T00:00:00"/>
    <s v="Materials Team"/>
    <s v="Under Materials Team validation"/>
    <s v="Yes"/>
    <s v="Manager"/>
    <s v="RM"/>
    <n v="100251"/>
    <s v="Paige Sullivan"/>
    <n v="100161"/>
    <s v="Connor Bishop"/>
    <n v="11"/>
    <x v="0"/>
    <s v="Connor Bishop"/>
    <s v="Description -  This Req has been handled by Materials Team and this is related to RMA Number Needed"/>
  </r>
  <r>
    <s v="A100"/>
    <s v="AFRA100"/>
    <s v="A100-141"/>
    <d v="2024-02-14T00:00:00"/>
    <d v="2026-05-20T00:00:00"/>
    <s v="180+"/>
    <s v="Africa"/>
    <n v="856"/>
    <n v="4131055"/>
    <s v="PO4416771161"/>
    <s v="SO91128271161"/>
    <s v="51128294191"/>
    <d v="2023-07-11T00:00:00"/>
    <s v="1023247"/>
    <s v="HONE 3247"/>
    <s v="Resolve with Buyer"/>
    <n v="1621.76"/>
    <n v="1621.76"/>
    <d v="2026-06-15T00:00:00"/>
    <s v="Sales Team"/>
    <s v="Under Sales Team validation"/>
    <s v="Yes"/>
    <s v="Manager"/>
    <s v="RB"/>
    <n v="100201"/>
    <s v="Aiden Harper"/>
    <n v="100201"/>
    <s v="Aiden Harper"/>
    <n v="11"/>
    <x v="0"/>
    <s v="Aiden Harper"/>
    <s v="Description -  This Req has been handled by Sales Team and this is related to Resolve with Buyer"/>
  </r>
  <r>
    <s v="A100"/>
    <s v="AFRA100"/>
    <s v="A100-141"/>
    <d v="2024-03-27T00:00:00"/>
    <d v="2025-06-02T00:00:00"/>
    <s v="180+"/>
    <s v="Africa"/>
    <n v="814"/>
    <n v="4137025"/>
    <s v="PO4419601886"/>
    <s v="SO91143101886"/>
    <s v="51143193376"/>
    <d v="2023-12-13T00:00:00"/>
    <s v="1355937"/>
    <s v="GE A 5937"/>
    <s v="PO Closed"/>
    <n v="6807.5"/>
    <n v="6807.5"/>
    <d v="2026-06-22T00:00:00"/>
    <s v="Sales Team"/>
    <s v="Under Sales Team validation"/>
    <s v="No"/>
    <s v="N/A"/>
    <s v="PC"/>
    <n v="100231"/>
    <s v="Jackson Norris"/>
    <n v="100231"/>
    <s v="Jackson Norris"/>
    <n v="4"/>
    <x v="0"/>
    <s v="Jackson Norris"/>
    <s v="Description -  This Req has been handled by Sales Team and this is related to PO Closed"/>
  </r>
  <r>
    <s v="A100"/>
    <s v="AFRA100"/>
    <s v="A100-141"/>
    <d v="2024-03-27T00:00:00"/>
    <d v="2025-06-02T00:00:00"/>
    <s v="180+"/>
    <s v="Africa"/>
    <n v="814"/>
    <n v="4137275"/>
    <s v="PO4416943115"/>
    <s v="SO91144143115"/>
    <s v="51144104705"/>
    <d v="2023-12-21T00:00:00"/>
    <s v="1355937"/>
    <s v="GE A 5937"/>
    <s v="PO Closed"/>
    <n v="6965"/>
    <n v="6965"/>
    <d v="2026-06-22T00:00:00"/>
    <s v="Sales Team"/>
    <s v="Under Sales Team validation"/>
    <s v="No"/>
    <s v="N/A"/>
    <s v="PC"/>
    <n v="100241"/>
    <s v="Leah Pearson"/>
    <n v="100241"/>
    <s v="Leah Pearson"/>
    <n v="4"/>
    <x v="0"/>
    <s v="Leah Pearson"/>
    <s v="Description -  This Req has been handled by Sales Team and this is related to PO Closed"/>
  </r>
  <r>
    <s v="A100"/>
    <s v="AFRA100"/>
    <s v="A100-141"/>
    <d v="2024-03-27T00:00:00"/>
    <d v="2025-06-02T00:00:00"/>
    <s v="180+"/>
    <s v="Africa"/>
    <n v="814"/>
    <n v="4135185"/>
    <s v="PO4498884344"/>
    <s v="SO91144984344"/>
    <s v="51144973494"/>
    <d v="2023-10-25T00:00:00"/>
    <s v="1355937"/>
    <s v="GE A 5937"/>
    <s v="PO Closed"/>
    <n v="5986.25"/>
    <n v="5986.25"/>
    <d v="2026-06-22T00:00:00"/>
    <s v="Sales Team"/>
    <s v="Under Sales Team validation"/>
    <s v="No"/>
    <s v="N/A"/>
    <s v="PC"/>
    <n v="100271"/>
    <s v="Brooke Palmer"/>
    <n v="100271"/>
    <s v="Brooke Palmer"/>
    <n v="4"/>
    <x v="0"/>
    <s v="Brooke Palmer"/>
    <s v="Description -  This Req has been handled by Sales Team and this is related to PO Closed"/>
  </r>
  <r>
    <s v="A100"/>
    <s v="AFRA100"/>
    <s v="A100-141"/>
    <d v="2024-03-27T00:00:00"/>
    <d v="2025-06-02T00:00:00"/>
    <s v="180+"/>
    <s v="Africa"/>
    <n v="814"/>
    <n v="4145755"/>
    <s v="PO4417225573"/>
    <s v="SO91125225573"/>
    <s v="51125219313"/>
    <d v="2023-10-25T00:00:00"/>
    <s v="1355937"/>
    <s v="GE A 5937"/>
    <s v="PO Closed"/>
    <n v="5986.25"/>
    <n v="5986.25"/>
    <d v="2026-06-22T00:00:00"/>
    <s v="Sales Team"/>
    <s v="Under Sales Team validation"/>
    <s v="No"/>
    <s v="N/A"/>
    <s v="PC"/>
    <n v="100281"/>
    <s v="Grace Whitaker"/>
    <n v="100281"/>
    <s v="Grace Whitaker"/>
    <n v="4"/>
    <x v="0"/>
    <s v="Grace Whitaker"/>
    <s v="Description -  This Req has been handled by Sales Team and this is related to PO Closed"/>
  </r>
  <r>
    <s v="A100"/>
    <s v="AFRA100"/>
    <s v="A100-141"/>
    <d v="2024-08-16T00:00:00"/>
    <d v="2025-06-12T00:00:00"/>
    <s v="180+"/>
    <s v="Africa"/>
    <n v="672"/>
    <n v="4228514"/>
    <s v="PO4420241541"/>
    <s v="SO91149541541"/>
    <s v="51149508921"/>
    <d v="2024-07-24T00:00:00"/>
    <s v="1355937"/>
    <s v="GE A 5937"/>
    <s v="Wrong PO Number"/>
    <n v="8.2200000000000006"/>
    <n v="657.5"/>
    <d v="2026-06-22T00:00:00"/>
    <s v="Sales Team"/>
    <s v="Under Sales Team validation"/>
    <s v="No"/>
    <s v="N/A"/>
    <s v="WP"/>
    <n v="100111"/>
    <s v="Andrew Ross"/>
    <n v="100111"/>
    <s v="Andrew Ross"/>
    <n v="4"/>
    <x v="0"/>
    <s v="Andrew Ross"/>
    <s v="Description -  This Req has been handled by Sales Team and this is related to Wrong PO Number"/>
  </r>
  <r>
    <s v="A100"/>
    <s v="AFRA100"/>
    <s v="A100-141"/>
    <d v="2024-08-16T00:00:00"/>
    <d v="2025-06-12T00:00:00"/>
    <s v="180+"/>
    <s v="Africa"/>
    <n v="672"/>
    <n v="4228134"/>
    <s v="PO4093182770"/>
    <s v="SO90116682770"/>
    <s v="50116679940"/>
    <d v="2024-07-24T00:00:00"/>
    <s v="1355937"/>
    <s v="GE A 5937"/>
    <s v="Wrong PO Number"/>
    <n v="3.84"/>
    <n v="307.5"/>
    <d v="2026-06-22T00:00:00"/>
    <s v="Sales Team"/>
    <s v="Under Sales Team validation"/>
    <s v="No"/>
    <s v="N/A"/>
    <s v="WP"/>
    <n v="100121"/>
    <s v="Olivia Jenkins"/>
    <n v="100121"/>
    <s v="Olivia Jenkins"/>
    <n v="4"/>
    <x v="0"/>
    <s v="Olivia Jenkins"/>
    <s v="Description -  This Req has been handled by Sales Team and this is related to Wrong PO Number"/>
  </r>
  <r>
    <s v="A100"/>
    <s v="AFRA100"/>
    <s v="A100-141"/>
    <d v="2024-08-16T00:00:00"/>
    <d v="2025-06-12T00:00:00"/>
    <s v="180+"/>
    <s v="Africa"/>
    <n v="672"/>
    <n v="4228314"/>
    <s v="PO4419323999"/>
    <s v="SO91149323999"/>
    <s v="51149380439"/>
    <d v="2024-07-21T00:00:00"/>
    <s v="1355937"/>
    <s v="GE A 5937"/>
    <s v="PO Closed"/>
    <n v="465"/>
    <n v="465"/>
    <d v="2026-06-22T00:00:00"/>
    <s v="Sales Team"/>
    <s v="Under Sales Team validation"/>
    <s v="No"/>
    <s v="N/A"/>
    <s v="PC"/>
    <n v="100151"/>
    <s v="Mason Reynolds"/>
    <n v="100151"/>
    <s v="Mason Reynolds"/>
    <n v="4"/>
    <x v="0"/>
    <s v="Mason Reynolds"/>
    <s v="Description -  This Req has been handled by Sales Team and this is related to PO Closed"/>
  </r>
  <r>
    <s v="A100"/>
    <s v="AFRA100"/>
    <s v="A100-141"/>
    <d v="2024-08-16T00:00:00"/>
    <d v="2025-06-12T00:00:00"/>
    <s v="180+"/>
    <s v="Africa"/>
    <n v="672"/>
    <n v="4229064"/>
    <s v="PO4419965228"/>
    <s v="SO91149265228"/>
    <s v="51149267228"/>
    <d v="2024-07-21T00:00:00"/>
    <s v="1355937"/>
    <s v="GE A 5937"/>
    <s v="PO Closed"/>
    <n v="465"/>
    <n v="465"/>
    <d v="2026-06-22T00:00:00"/>
    <s v="Sales Team"/>
    <s v="Under Sales Team validation"/>
    <s v="No"/>
    <s v="N/A"/>
    <s v="PC"/>
    <n v="100161"/>
    <s v="Connor Bishop"/>
    <n v="100161"/>
    <s v="Connor Bishop"/>
    <n v="4"/>
    <x v="0"/>
    <s v="Connor Bishop"/>
    <s v="Description -  This Req has been handled by Sales Team and this is related to PO Closed"/>
  </r>
  <r>
    <s v="A100"/>
    <s v="AFRA100"/>
    <s v="A100-141"/>
    <d v="2024-08-16T00:00:00"/>
    <d v="2025-06-12T00:00:00"/>
    <s v="180+"/>
    <s v="Africa"/>
    <n v="672"/>
    <n v="4228884"/>
    <s v="PO4417606457"/>
    <s v="SO91149106457"/>
    <s v="51149180207"/>
    <d v="2024-07-21T00:00:00"/>
    <s v="1355937"/>
    <s v="GE A 5937"/>
    <s v="PO Closed"/>
    <n v="307.5"/>
    <n v="307.5"/>
    <d v="2026-06-22T00:00:00"/>
    <s v="Sales Team"/>
    <s v="Under Sales Team validation"/>
    <s v="No"/>
    <s v="N/A"/>
    <s v="PC"/>
    <n v="100191"/>
    <s v="Dominic Flores"/>
    <n v="100191"/>
    <s v="Dominic Flores"/>
    <n v="4"/>
    <x v="0"/>
    <s v="Dominic Flores"/>
    <s v="Description -  This Req has been handled by Sales Team and this is related to PO Closed"/>
  </r>
  <r>
    <s v="A100"/>
    <s v="AFRA100"/>
    <s v="A100-141"/>
    <d v="2024-08-16T00:00:00"/>
    <d v="2025-06-12T00:00:00"/>
    <s v="180+"/>
    <s v="Africa"/>
    <n v="672"/>
    <n v="4228464"/>
    <s v="PO4420347686"/>
    <s v="SO91150147686"/>
    <s v="51150173656"/>
    <d v="2024-07-21T00:00:00"/>
    <s v="1355937"/>
    <s v="GE A 5937"/>
    <s v="PO Closed"/>
    <n v="307.5"/>
    <n v="307.5"/>
    <d v="2026-06-22T00:00:00"/>
    <s v="Sales Team"/>
    <s v="Under Sales Team validation"/>
    <s v="No"/>
    <s v="N/A"/>
    <s v="PC"/>
    <n v="100201"/>
    <s v="Aiden Harper"/>
    <n v="100201"/>
    <s v="Aiden Harper"/>
    <n v="4"/>
    <x v="0"/>
    <s v="Aiden Harper"/>
    <s v="Description -  This Req has been handled by Sales Team and this is related to PO Closed"/>
  </r>
  <r>
    <s v="A100"/>
    <s v="AFRA100"/>
    <s v="A100-141"/>
    <d v="2024-08-16T00:00:00"/>
    <d v="2025-06-12T00:00:00"/>
    <s v="180+"/>
    <s v="Africa"/>
    <n v="672"/>
    <n v="4228454"/>
    <s v="PO4420388915"/>
    <s v="SO91150188915"/>
    <s v="51150173635"/>
    <d v="2024-07-21T00:00:00"/>
    <s v="1355937"/>
    <s v="GE A 5937"/>
    <s v="PO Closed"/>
    <n v="307.5"/>
    <n v="307.5"/>
    <d v="2026-06-22T00:00:00"/>
    <s v="Sales Team"/>
    <s v="Under Sales Team validation"/>
    <s v="No"/>
    <s v="N/A"/>
    <s v="PC"/>
    <n v="100231"/>
    <s v="Jackson Norris"/>
    <n v="100231"/>
    <s v="Jackson Norris"/>
    <n v="4"/>
    <x v="0"/>
    <s v="Jackson Norris"/>
    <s v="Description -  This Req has been handled by Sales Team and this is related to PO Closed"/>
  </r>
  <r>
    <s v="A100"/>
    <s v="AFRA100"/>
    <s v="A100-141"/>
    <d v="2024-08-16T00:00:00"/>
    <d v="2025-06-12T00:00:00"/>
    <s v="180+"/>
    <s v="Africa"/>
    <n v="672"/>
    <n v="4228874"/>
    <s v="PO4419930144"/>
    <s v="SO91149130144"/>
    <s v="51149159914"/>
    <d v="2024-07-21T00:00:00"/>
    <s v="1355937"/>
    <s v="GE A 5937"/>
    <s v="PO Closed"/>
    <n v="736.25"/>
    <n v="736.25"/>
    <d v="2026-06-22T00:00:00"/>
    <s v="Sales Team"/>
    <s v="Under Sales Team validation"/>
    <s v="No"/>
    <s v="N/A"/>
    <s v="PC"/>
    <n v="100241"/>
    <s v="Leah Pearson"/>
    <n v="100241"/>
    <s v="Leah Pearson"/>
    <n v="4"/>
    <x v="0"/>
    <s v="Leah Pearson"/>
    <s v="Description -  This Req has been handled by Sales Team and this is related to PO Closed"/>
  </r>
  <r>
    <s v="A100"/>
    <s v="AFRA100"/>
    <s v="A100-141"/>
    <d v="2024-08-16T00:00:00"/>
    <d v="2025-06-13T00:00:00"/>
    <s v="180+"/>
    <s v="Africa"/>
    <n v="672"/>
    <n v="4228494"/>
    <s v="PO4420271373"/>
    <s v="SO91149571373"/>
    <s v="51149508943"/>
    <d v="2024-04-17T00:00:00"/>
    <s v="1355937"/>
    <s v="GE A 5937"/>
    <s v="PO Closed"/>
    <n v="525"/>
    <n v="525"/>
    <d v="2026-06-22T00:00:00"/>
    <s v="Sales Team"/>
    <s v="Under Sales Team validation"/>
    <s v="No"/>
    <s v="N/A"/>
    <s v="PC"/>
    <n v="100271"/>
    <s v="Brooke Palmer"/>
    <n v="100271"/>
    <s v="Brooke Palmer"/>
    <n v="4"/>
    <x v="0"/>
    <s v="Brooke Palmer"/>
    <s v="Description -  This Req has been handled by Sales Team and this is related to PO Closed"/>
  </r>
  <r>
    <s v="A100"/>
    <s v="AFRA100"/>
    <s v="A100-141"/>
    <d v="2024-08-16T00:00:00"/>
    <d v="2025-06-13T00:00:00"/>
    <s v="180+"/>
    <s v="Africa"/>
    <n v="672"/>
    <n v="4229024"/>
    <s v="PO4420312602"/>
    <s v="SO91150112602"/>
    <s v="51150166772"/>
    <d v="2024-03-27T00:00:00"/>
    <s v="1355937"/>
    <s v="GE A 5937"/>
    <s v="PO Closed"/>
    <n v="300"/>
    <n v="300"/>
    <d v="2026-06-22T00:00:00"/>
    <s v="Sales Team"/>
    <s v="Under Sales Team validation"/>
    <s v="No"/>
    <s v="N/A"/>
    <s v="PC"/>
    <n v="100281"/>
    <s v="Grace Whitaker"/>
    <n v="100281"/>
    <s v="Grace Whitaker"/>
    <n v="4"/>
    <x v="0"/>
    <s v="Grace Whitaker"/>
    <s v="Description -  This Req has been handled by Sales Team and this is related to PO Closed"/>
  </r>
  <r>
    <s v="A100"/>
    <s v="AFRA100"/>
    <s v="A100-141"/>
    <d v="2024-08-16T00:00:00"/>
    <d v="2025-06-13T00:00:00"/>
    <s v="180+"/>
    <s v="Africa"/>
    <n v="672"/>
    <n v="4228744"/>
    <s v="PO4419953831"/>
    <s v="SO91149153831"/>
    <s v="51149125951"/>
    <d v="2024-03-26T00:00:00"/>
    <s v="1355937"/>
    <s v="GE A 5937"/>
    <s v="PO Closed"/>
    <n v="600"/>
    <n v="600"/>
    <d v="2026-06-22T00:00:00"/>
    <s v="Sales Team"/>
    <s v="Under Sales Team validation"/>
    <s v="No"/>
    <s v="N/A"/>
    <s v="PC"/>
    <n v="100111"/>
    <s v="Andrew Ross"/>
    <n v="100111"/>
    <s v="Andrew Ross"/>
    <n v="4"/>
    <x v="0"/>
    <s v="Andrew Ross"/>
    <s v="Description -  This Req has been handled by Sales Team and this is related to PO Closed"/>
  </r>
  <r>
    <s v="A100"/>
    <s v="AFRA100"/>
    <s v="A100-141"/>
    <d v="2024-08-16T00:00:00"/>
    <d v="2025-06-13T00:00:00"/>
    <s v="180+"/>
    <s v="Africa"/>
    <n v="672"/>
    <n v="4229004"/>
    <s v="PO4417695060"/>
    <s v="SO91149195060"/>
    <s v="51149146660"/>
    <d v="2024-03-26T00:00:00"/>
    <s v="1355937"/>
    <s v="GE A 5937"/>
    <s v="PO Closed"/>
    <n v="600"/>
    <n v="600"/>
    <d v="2026-06-22T00:00:00"/>
    <s v="Sales Team"/>
    <s v="Under Sales Team validation"/>
    <s v="No"/>
    <s v="N/A"/>
    <s v="PC"/>
    <n v="100121"/>
    <s v="Olivia Jenkins"/>
    <n v="100121"/>
    <s v="Olivia Jenkins"/>
    <n v="4"/>
    <x v="0"/>
    <s v="Olivia Jenkins"/>
    <s v="Description -  This Req has been handled by Sales Team and this is related to PO Closed"/>
  </r>
  <r>
    <s v="A100"/>
    <s v="AFRA100"/>
    <s v="A100-141"/>
    <d v="2024-10-09T00:00:00"/>
    <d v="2025-06-13T00:00:00"/>
    <s v="180+"/>
    <s v="Africa"/>
    <n v="618"/>
    <n v="4251383"/>
    <s v="PO4095117067"/>
    <s v="SO90116817067"/>
    <s v="50116808227"/>
    <d v="2024-01-23T00:00:00"/>
    <s v="1355937"/>
    <s v="GE A 5937"/>
    <s v="PO Closed"/>
    <n v="307.5"/>
    <n v="307.5"/>
    <d v="2026-06-22T00:00:00"/>
    <s v="Sales Team"/>
    <s v="Under Sales Team validation"/>
    <s v="No"/>
    <s v="N/A"/>
    <s v="PC"/>
    <n v="100151"/>
    <s v="Mason Reynolds"/>
    <n v="100151"/>
    <s v="Mason Reynolds"/>
    <n v="4"/>
    <x v="0"/>
    <s v="Mason Reynolds"/>
    <s v="Description -  This Req has been handled by Sales Team and this is related to PO Closed"/>
  </r>
  <r>
    <s v="A100"/>
    <s v="AFRA100"/>
    <s v="A100-141"/>
    <d v="2024-10-09T00:00:00"/>
    <d v="2025-07-25T00:00:00"/>
    <s v="180+"/>
    <s v="Africa"/>
    <n v="618"/>
    <n v="4251353"/>
    <s v="PO4418758296"/>
    <s v="SO91151358296"/>
    <s v="51151361906"/>
    <d v="2024-01-23T00:00:00"/>
    <s v="1355937"/>
    <s v="GE A 5937"/>
    <s v="PO Closed"/>
    <n v="1075"/>
    <n v="1075"/>
    <d v="2026-06-22T00:00:00"/>
    <s v="Sales Team"/>
    <s v="Under Sales Team validation"/>
    <s v="No"/>
    <s v="N/A"/>
    <s v="PC"/>
    <n v="100161"/>
    <s v="Connor Bishop"/>
    <n v="100161"/>
    <s v="Connor Bishop"/>
    <n v="4"/>
    <x v="0"/>
    <s v="Connor Bishop"/>
    <s v="Description -  This Req has been handled by Sales Team and this is related to PO Closed"/>
  </r>
  <r>
    <s v="A100"/>
    <s v="AFRA100"/>
    <s v="A100-141"/>
    <d v="2024-10-09T00:00:00"/>
    <d v="2025-07-25T00:00:00"/>
    <s v="180+"/>
    <s v="Africa"/>
    <n v="618"/>
    <n v="4252463"/>
    <s v="PO8856499525"/>
    <s v="SO91153799525"/>
    <s v="51153713495"/>
    <d v="2024-01-25T00:00:00"/>
    <s v="1355937"/>
    <s v="GE A 5937"/>
    <s v="PO Closed"/>
    <n v="307.5"/>
    <n v="307.5"/>
    <d v="2026-06-22T00:00:00"/>
    <s v="Sales Team"/>
    <s v="Under Sales Team validation"/>
    <s v="No"/>
    <s v="N/A"/>
    <s v="PC"/>
    <n v="100191"/>
    <s v="Dominic Flores"/>
    <n v="100191"/>
    <s v="Dominic Flores"/>
    <n v="4"/>
    <x v="0"/>
    <s v="Dominic Flores"/>
    <s v="Description -  This Req has been handled by Sales Team and this is related to PO Closed"/>
  </r>
  <r>
    <s v="A100"/>
    <s v="AFRA100"/>
    <s v="A100-141"/>
    <d v="2024-10-10T00:00:00"/>
    <d v="2025-06-13T00:00:00"/>
    <s v="180+"/>
    <s v="Africa"/>
    <n v="617"/>
    <n v="4253233"/>
    <s v="PO4420423212"/>
    <s v="SO91151623212"/>
    <s v="51151628402"/>
    <d v="2024-01-11T00:00:00"/>
    <s v="1355937"/>
    <s v="GE A 5937"/>
    <s v="Pricing Error"/>
    <n v="250"/>
    <n v="250"/>
    <d v="2026-06-22T00:00:00"/>
    <s v="Sales Team"/>
    <s v="Under Sales Team validation"/>
    <s v="No"/>
    <s v="N/A"/>
    <s v="PE"/>
    <n v="100201"/>
    <s v="Aiden Harper"/>
    <n v="100201"/>
    <s v="Aiden Harper"/>
    <n v="4"/>
    <x v="0"/>
    <s v="Aiden Harper"/>
    <s v="Description -  This Req has been handled by Sales Team and this is related to Pricing Error"/>
  </r>
  <r>
    <s v="A100"/>
    <s v="AFRA100"/>
    <s v="A100-141"/>
    <d v="2024-10-11T00:00:00"/>
    <d v="2025-07-25T00:00:00"/>
    <s v="180+"/>
    <s v="Africa"/>
    <n v="616"/>
    <n v="4253253"/>
    <s v="PO4420229357"/>
    <s v="SO91152029357"/>
    <s v="51152009827"/>
    <d v="2024-01-26T00:00:00"/>
    <s v="1355937"/>
    <s v="GE A 5937"/>
    <s v="PO Closed"/>
    <n v="300"/>
    <n v="300"/>
    <d v="2026-06-22T00:00:00"/>
    <s v="Sales Team"/>
    <s v="Under Sales Team validation"/>
    <s v="No"/>
    <s v="N/A"/>
    <s v="PC"/>
    <n v="100231"/>
    <s v="Jackson Norris"/>
    <n v="100231"/>
    <s v="Jackson Norris"/>
    <n v="4"/>
    <x v="0"/>
    <s v="Jackson Norris"/>
    <s v="Description -  This Req has been handled by Sales Team and this is related to PO Closed"/>
  </r>
  <r>
    <s v="A100"/>
    <s v="AFRA100"/>
    <s v="A100-141"/>
    <d v="2024-10-11T00:00:00"/>
    <d v="2025-07-25T00:00:00"/>
    <s v="180+"/>
    <s v="Africa"/>
    <n v="616"/>
    <n v="4254583"/>
    <s v="POMR6H570586"/>
    <s v="SO91154070586"/>
    <s v="51154092826"/>
    <d v="2024-01-26T00:00:00"/>
    <s v="1355937"/>
    <s v="GE A 5937"/>
    <s v="PO Closed"/>
    <n v="307.5"/>
    <n v="307.5"/>
    <d v="2026-06-22T00:00:00"/>
    <s v="Sales Team"/>
    <s v="Under Sales Team validation"/>
    <s v="No"/>
    <s v="N/A"/>
    <s v="PC"/>
    <n v="100241"/>
    <s v="Leah Pearson"/>
    <n v="100241"/>
    <s v="Leah Pearson"/>
    <n v="4"/>
    <x v="0"/>
    <s v="Leah Pearson"/>
    <s v="Description -  This Req has been handled by Sales Team and this is related to PO Closed"/>
  </r>
  <r>
    <s v="A100"/>
    <s v="AFRA100"/>
    <s v="A100-141"/>
    <d v="2024-10-11T00:00:00"/>
    <d v="2025-07-25T00:00:00"/>
    <s v="180+"/>
    <s v="Africa"/>
    <n v="616"/>
    <n v="4254593"/>
    <s v="POMR6H511815"/>
    <s v="SO91154111815"/>
    <s v="51154176635"/>
    <d v="2024-01-26T00:00:00"/>
    <s v="1355937"/>
    <s v="GE A 5937"/>
    <s v="PO Closed"/>
    <n v="850"/>
    <n v="850"/>
    <d v="2026-06-22T00:00:00"/>
    <s v="Sales Team"/>
    <s v="Under Sales Team validation"/>
    <s v="No"/>
    <s v="N/A"/>
    <s v="PC"/>
    <n v="100271"/>
    <s v="Brooke Palmer"/>
    <n v="100271"/>
    <s v="Brooke Palmer"/>
    <n v="4"/>
    <x v="0"/>
    <s v="Brooke Palmer"/>
    <s v="Description -  This Req has been handled by Sales Team and this is related to PO Closed"/>
  </r>
  <r>
    <s v="A100"/>
    <s v="AFRA100"/>
    <s v="A100-141"/>
    <d v="2024-10-11T00:00:00"/>
    <d v="2025-07-25T00:00:00"/>
    <s v="180+"/>
    <s v="Africa"/>
    <n v="616"/>
    <n v="4253973"/>
    <s v="POC240453044"/>
    <s v="SO91151853044"/>
    <s v="51151856144"/>
    <d v="2024-01-27T00:00:00"/>
    <s v="1355937"/>
    <s v="GE A 5937"/>
    <s v="PO Closed"/>
    <n v="300"/>
    <n v="300"/>
    <d v="2026-06-22T00:00:00"/>
    <s v="Sales Team"/>
    <s v="Under Sales Team validation"/>
    <s v="No"/>
    <s v="N/A"/>
    <s v="PC"/>
    <n v="100281"/>
    <s v="Grace Whitaker"/>
    <n v="100281"/>
    <s v="Grace Whitaker"/>
    <n v="4"/>
    <x v="0"/>
    <s v="Grace Whitaker"/>
    <s v="Description -  This Req has been handled by Sales Team and this is related to PO Closed"/>
  </r>
  <r>
    <s v="A100"/>
    <s v="AFRA100"/>
    <s v="A100-141"/>
    <d v="2024-10-11T00:00:00"/>
    <d v="2025-07-25T00:00:00"/>
    <s v="180+"/>
    <s v="Africa"/>
    <n v="616"/>
    <n v="4252803"/>
    <s v="POC240494273"/>
    <s v="SO91151894273"/>
    <s v="51151829923"/>
    <d v="2024-01-27T00:00:00"/>
    <s v="1355937"/>
    <s v="GE A 5937"/>
    <s v="PO Closed"/>
    <n v="700"/>
    <n v="700"/>
    <d v="2026-06-22T00:00:00"/>
    <s v="Sales Team"/>
    <s v="Under Sales Team validation"/>
    <s v="No"/>
    <s v="N/A"/>
    <s v="PC"/>
    <n v="100111"/>
    <s v="Andrew Ross"/>
    <n v="100111"/>
    <s v="Andrew Ross"/>
    <n v="4"/>
    <x v="0"/>
    <s v="Andrew Ros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4153"/>
    <s v="POC240435502"/>
    <s v="SO91151435502"/>
    <s v="51151496852"/>
    <d v="2024-02-23T00:00:00"/>
    <s v="1355937"/>
    <s v="GE A 5937"/>
    <s v="PO Closed"/>
    <n v="525"/>
    <n v="525"/>
    <d v="2026-06-22T00:00:00"/>
    <s v="Sales Team"/>
    <s v="Under Sales Team validation"/>
    <s v="No"/>
    <s v="N/A"/>
    <s v="PC"/>
    <n v="100121"/>
    <s v="Olivia Jenkins"/>
    <n v="100121"/>
    <s v="Olivia Jenkins"/>
    <n v="4"/>
    <x v="0"/>
    <s v="Olivia Jenkin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3953"/>
    <s v="POC240476731"/>
    <s v="SO91152176731"/>
    <s v="51152140151"/>
    <d v="2024-02-25T00:00:00"/>
    <s v="1355937"/>
    <s v="GE A 5937"/>
    <s v="PO Closed"/>
    <n v="525"/>
    <n v="525"/>
    <d v="2026-06-22T00:00:00"/>
    <s v="Sales Team"/>
    <s v="Under Sales Team validation"/>
    <s v="No"/>
    <s v="N/A"/>
    <s v="PC"/>
    <n v="100151"/>
    <s v="Mason Reynolds"/>
    <n v="100151"/>
    <s v="Mason Reynolds"/>
    <n v="4"/>
    <x v="0"/>
    <s v="Mason Reynold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2153"/>
    <s v="PO4500117960"/>
    <s v="SO91153717960"/>
    <s v="51153789620"/>
    <d v="2024-02-25T00:00:00"/>
    <s v="1355937"/>
    <s v="GE A 5937"/>
    <s v="PO Closed"/>
    <n v="300"/>
    <n v="300"/>
    <d v="2026-06-22T00:00:00"/>
    <s v="Sales Team"/>
    <s v="Under Sales Team validation"/>
    <s v="No"/>
    <s v="N/A"/>
    <s v="PC"/>
    <n v="100161"/>
    <s v="Connor Bishop"/>
    <n v="100161"/>
    <s v="Connor Bishop"/>
    <n v="4"/>
    <x v="0"/>
    <s v="Connor Bishop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3813"/>
    <s v="POPO89159189"/>
    <s v="SO91152059189"/>
    <s v="51152047559"/>
    <d v="2024-02-25T00:00:00"/>
    <s v="1355937"/>
    <s v="GE A 5937"/>
    <s v="PO Closed"/>
    <n v="300"/>
    <n v="300"/>
    <d v="2026-06-22T00:00:00"/>
    <s v="Sales Team"/>
    <s v="Under Sales Team validation"/>
    <s v="No"/>
    <s v="N/A"/>
    <s v="PC"/>
    <n v="100191"/>
    <s v="Dominic Flores"/>
    <n v="100191"/>
    <s v="Dominic Flores"/>
    <n v="4"/>
    <x v="0"/>
    <s v="Dominic Flore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3793"/>
    <s v="POPO89900418"/>
    <s v="SO91151600418"/>
    <s v="51151696418"/>
    <d v="2024-02-25T00:00:00"/>
    <s v="1355937"/>
    <s v="GE A 5937"/>
    <s v="PO Closed"/>
    <n v="300"/>
    <n v="300"/>
    <d v="2026-06-22T00:00:00"/>
    <s v="Sales Team"/>
    <s v="Under Sales Team validation"/>
    <s v="No"/>
    <s v="N/A"/>
    <s v="PC"/>
    <n v="100201"/>
    <s v="Aiden Harper"/>
    <n v="100201"/>
    <s v="Aiden Harper"/>
    <n v="4"/>
    <x v="0"/>
    <s v="Aiden Harper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5603"/>
    <s v="PO4592741647"/>
    <s v="SO91150841647"/>
    <s v="51150884537"/>
    <d v="2024-02-25T00:00:00"/>
    <s v="1355937"/>
    <s v="GE A 5937"/>
    <s v="PO Closed"/>
    <n v="300"/>
    <n v="300"/>
    <d v="2026-06-22T00:00:00"/>
    <s v="Sales Team"/>
    <s v="Under Sales Team validation"/>
    <s v="No"/>
    <s v="N/A"/>
    <s v="PC"/>
    <n v="100231"/>
    <s v="Jackson Norris"/>
    <n v="100231"/>
    <s v="Jackson Norris"/>
    <n v="4"/>
    <x v="0"/>
    <s v="Jackson Norri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3803"/>
    <s v="POPO89182876"/>
    <s v="SO91152182876"/>
    <s v="51152115816"/>
    <d v="2024-03-21T00:00:00"/>
    <s v="1355937"/>
    <s v="GE A 5937"/>
    <s v="PO Closed"/>
    <n v="307.5"/>
    <n v="307.5"/>
    <d v="2026-06-22T00:00:00"/>
    <s v="Sales Team"/>
    <s v="Under Sales Team validation"/>
    <s v="No"/>
    <s v="N/A"/>
    <s v="PC"/>
    <n v="100241"/>
    <s v="Leah Pearson"/>
    <n v="100241"/>
    <s v="Leah Pearson"/>
    <n v="4"/>
    <x v="0"/>
    <s v="Leah Pearson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5523"/>
    <s v="POPO90124105"/>
    <s v="SO91152124105"/>
    <s v="51152199635"/>
    <d v="2024-03-25T00:00:00"/>
    <s v="1355937"/>
    <s v="GE A 5937"/>
    <s v="PO Closed"/>
    <n v="600"/>
    <n v="600"/>
    <d v="2026-06-22T00:00:00"/>
    <s v="Sales Team"/>
    <s v="Under Sales Team validation"/>
    <s v="No"/>
    <s v="N/A"/>
    <s v="PC"/>
    <n v="100271"/>
    <s v="Brooke Palmer"/>
    <n v="100271"/>
    <s v="Brooke Palmer"/>
    <n v="4"/>
    <x v="0"/>
    <s v="Brooke Palmer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3773"/>
    <s v="POPO89465334"/>
    <s v="SO91151365334"/>
    <s v="51151382454"/>
    <d v="2024-03-25T00:00:00"/>
    <s v="1355937"/>
    <s v="GE A 5937"/>
    <s v="PO Closed"/>
    <n v="450"/>
    <n v="450"/>
    <d v="2026-06-22T00:00:00"/>
    <s v="Sales Team"/>
    <s v="Under Sales Team validation"/>
    <s v="No"/>
    <s v="N/A"/>
    <s v="PC"/>
    <n v="100281"/>
    <s v="Grace Whitaker"/>
    <n v="100281"/>
    <s v="Grace Whitaker"/>
    <n v="4"/>
    <x v="0"/>
    <s v="Grace Whitaker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3783"/>
    <s v="POPO89406563"/>
    <s v="SO91151306563"/>
    <s v="51151382463"/>
    <d v="2024-03-25T00:00:00"/>
    <s v="1355937"/>
    <s v="GE A 5937"/>
    <s v="PO Closed"/>
    <n v="300"/>
    <n v="300"/>
    <d v="2026-06-22T00:00:00"/>
    <s v="Sales Team"/>
    <s v="Under Sales Team validation"/>
    <s v="No"/>
    <s v="N/A"/>
    <s v="PC"/>
    <n v="100111"/>
    <s v="Andrew Ross"/>
    <n v="100111"/>
    <s v="Andrew Ross"/>
    <n v="4"/>
    <x v="0"/>
    <s v="Andrew Ros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8053"/>
    <s v="PO4000047792"/>
    <s v="SO91154647792"/>
    <s v="51154625902"/>
    <d v="2024-03-25T00:00:00"/>
    <s v="1355937"/>
    <s v="GE A 5937"/>
    <s v="PO Closed"/>
    <n v="525"/>
    <n v="525"/>
    <d v="2026-06-22T00:00:00"/>
    <s v="Sales Team"/>
    <s v="Under Sales Team validation"/>
    <s v="No"/>
    <s v="N/A"/>
    <s v="PC"/>
    <n v="100121"/>
    <s v="Olivia Jenkins"/>
    <n v="100121"/>
    <s v="Olivia Jenkins"/>
    <n v="4"/>
    <x v="0"/>
    <s v="Olivia Jenkin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8063"/>
    <s v="PO4000089021"/>
    <s v="SO91155289021"/>
    <s v="51155297051"/>
    <d v="2024-03-25T00:00:00"/>
    <s v="1355937"/>
    <s v="GE A 5937"/>
    <s v="PO Closed"/>
    <n v="300"/>
    <n v="300"/>
    <d v="2026-06-22T00:00:00"/>
    <s v="Sales Team"/>
    <s v="Under Sales Team validation"/>
    <s v="No"/>
    <s v="N/A"/>
    <s v="PC"/>
    <n v="100151"/>
    <s v="Mason Reynolds"/>
    <n v="100151"/>
    <s v="Mason Reynolds"/>
    <n v="4"/>
    <x v="0"/>
    <s v="Mason Reynold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9343"/>
    <s v="PO4400830250"/>
    <s v="SO91155230250"/>
    <s v="51155292490"/>
    <d v="2024-03-25T00:00:00"/>
    <s v="1355937"/>
    <s v="GE A 5937"/>
    <s v="PO Closed"/>
    <n v="300"/>
    <n v="300"/>
    <d v="2026-06-22T00:00:00"/>
    <s v="Sales Team"/>
    <s v="Under Sales Team validation"/>
    <s v="No"/>
    <s v="N/A"/>
    <s v="PC"/>
    <n v="100161"/>
    <s v="Connor Bishop"/>
    <n v="100161"/>
    <s v="Connor Bishop"/>
    <n v="4"/>
    <x v="0"/>
    <s v="Connor Bishop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9373"/>
    <s v="PO4516871479"/>
    <s v="SO91154471479"/>
    <s v="51154468619"/>
    <d v="2024-03-25T00:00:00"/>
    <s v="1355937"/>
    <s v="GE A 5937"/>
    <s v="PO Closed"/>
    <n v="600"/>
    <n v="600"/>
    <d v="2026-06-22T00:00:00"/>
    <s v="Sales Team"/>
    <s v="Under Sales Team validation"/>
    <s v="No"/>
    <s v="N/A"/>
    <s v="PC"/>
    <n v="100191"/>
    <s v="Dominic Flores"/>
    <n v="100191"/>
    <s v="Dominic Flores"/>
    <n v="4"/>
    <x v="0"/>
    <s v="Dominic Flore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9593"/>
    <s v="PO4680012708"/>
    <s v="SO91153912708"/>
    <s v="51153929948"/>
    <d v="2024-03-25T00:00:00"/>
    <s v="1355937"/>
    <s v="GE A 5937"/>
    <s v="PO Closed"/>
    <n v="300"/>
    <n v="300"/>
    <d v="2026-06-22T00:00:00"/>
    <s v="Sales Team"/>
    <s v="Under Sales Team validation"/>
    <s v="No"/>
    <s v="N/A"/>
    <s v="PC"/>
    <n v="100201"/>
    <s v="Aiden Harper"/>
    <n v="100201"/>
    <s v="Aiden Harper"/>
    <n v="4"/>
    <x v="0"/>
    <s v="Aiden Harper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60073"/>
    <s v="PO5500053937"/>
    <s v="SO91155153937"/>
    <s v="51155141397"/>
    <d v="2024-03-25T00:00:00"/>
    <s v="1355937"/>
    <s v="GE A 5937"/>
    <s v="PO Closed"/>
    <n v="900"/>
    <n v="900"/>
    <d v="2026-06-22T00:00:00"/>
    <s v="Sales Team"/>
    <s v="Under Sales Team validation"/>
    <s v="No"/>
    <s v="N/A"/>
    <s v="PC"/>
    <n v="100231"/>
    <s v="Jackson Norris"/>
    <n v="100231"/>
    <s v="Jackson Norris"/>
    <n v="4"/>
    <x v="0"/>
    <s v="Jackson Norris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59603"/>
    <s v="PO4680095166"/>
    <s v="SO91154995166"/>
    <s v="51154916406"/>
    <d v="2024-03-25T00:00:00"/>
    <s v="1355937"/>
    <s v="GE A 5937"/>
    <s v="PO Closed"/>
    <n v="300"/>
    <n v="300"/>
    <d v="2026-06-22T00:00:00"/>
    <s v="Sales Team"/>
    <s v="Under Sales Team validation"/>
    <s v="No"/>
    <s v="N/A"/>
    <s v="PC"/>
    <n v="100241"/>
    <s v="Leah Pearson"/>
    <n v="100241"/>
    <s v="Leah Pearson"/>
    <n v="4"/>
    <x v="0"/>
    <s v="Leah Pearson"/>
    <s v="Description -  This Req has been handled by Sales Team and this is related to PO Closed"/>
  </r>
  <r>
    <s v="A100"/>
    <s v="AFRA100"/>
    <s v="A100-141"/>
    <d v="2024-10-15T00:00:00"/>
    <d v="2025-07-25T00:00:00"/>
    <s v="180+"/>
    <s v="Africa"/>
    <n v="612"/>
    <n v="4260083"/>
    <s v="PO5500036395"/>
    <s v="SO91154336395"/>
    <s v="51154323645"/>
    <d v="2024-03-25T00:00:00"/>
    <s v="1355937"/>
    <s v="GE A 5937"/>
    <s v="PO Closed"/>
    <n v="300"/>
    <n v="300"/>
    <d v="2026-06-22T00:00:00"/>
    <s v="Sales Team"/>
    <s v="Under Sales Team validation"/>
    <s v="No"/>
    <s v="N/A"/>
    <s v="PC"/>
    <n v="100271"/>
    <s v="Brooke Palmer"/>
    <n v="100271"/>
    <s v="Brooke Palmer"/>
    <n v="4"/>
    <x v="0"/>
    <s v="Brooke Palmer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1153"/>
    <s v="PO2100377624"/>
    <s v="SO91154877624"/>
    <s v="51154848054"/>
    <d v="2024-08-16T00:00:00"/>
    <s v="1355937"/>
    <s v="GE A 5937"/>
    <s v="PO Closed"/>
    <n v="307.5"/>
    <n v="307.5"/>
    <d v="2026-06-22T00:00:00"/>
    <s v="Sales Team"/>
    <s v="Under Sales Team validation"/>
    <s v="No"/>
    <s v="N/A"/>
    <s v="PC"/>
    <n v="100281"/>
    <s v="Grace Whitaker"/>
    <n v="100281"/>
    <s v="Grace Whitaker"/>
    <n v="4"/>
    <x v="0"/>
    <s v="Grace Whitaker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1423"/>
    <s v="PO2100318853"/>
    <s v="SO91154318853"/>
    <s v="51154362903"/>
    <d v="2024-08-16T00:00:00"/>
    <s v="1355937"/>
    <s v="GE A 5937"/>
    <s v="PO Closed"/>
    <n v="307.5"/>
    <n v="307.5"/>
    <d v="2026-06-22T00:00:00"/>
    <s v="Sales Team"/>
    <s v="Under Sales Team validation"/>
    <s v="No"/>
    <s v="N/A"/>
    <s v="PC"/>
    <n v="100111"/>
    <s v="Andrew Ross"/>
    <n v="100111"/>
    <s v="Andrew Ross"/>
    <n v="4"/>
    <x v="0"/>
    <s v="Andrew Ross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0163"/>
    <s v="PO2100360082"/>
    <s v="SO91155160082"/>
    <s v="51155185342"/>
    <d v="2024-08-16T00:00:00"/>
    <s v="1355937"/>
    <s v="GE A 5937"/>
    <s v="PO Closed"/>
    <n v="307.5"/>
    <n v="307.5"/>
    <d v="2026-06-22T00:00:00"/>
    <s v="Sales Team"/>
    <s v="Under Sales Team validation"/>
    <s v="No"/>
    <s v="N/A"/>
    <s v="PC"/>
    <n v="100121"/>
    <s v="Olivia Jenkins"/>
    <n v="100121"/>
    <s v="Olivia Jenkins"/>
    <n v="4"/>
    <x v="0"/>
    <s v="Olivia Jenkins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1203"/>
    <s v="PO2100301311"/>
    <s v="SO91155101311"/>
    <s v="51155169291"/>
    <d v="2024-08-16T00:00:00"/>
    <s v="1355937"/>
    <s v="GE A 5937"/>
    <s v="PO Closed"/>
    <n v="307.5"/>
    <n v="307.5"/>
    <d v="2026-06-22T00:00:00"/>
    <s v="Sales Team"/>
    <s v="Under Sales Team validation"/>
    <s v="No"/>
    <s v="N/A"/>
    <s v="PC"/>
    <n v="100151"/>
    <s v="Mason Reynolds"/>
    <n v="100151"/>
    <s v="Mason Reynolds"/>
    <n v="4"/>
    <x v="0"/>
    <s v="Mason Reynolds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1143"/>
    <s v="PO2100342540"/>
    <s v="SO91155942540"/>
    <s v="51155989200"/>
    <d v="2024-08-16T00:00:00"/>
    <s v="1355937"/>
    <s v="GE A 5937"/>
    <s v="PO Closed"/>
    <n v="307.5"/>
    <n v="307.5"/>
    <d v="2026-06-22T00:00:00"/>
    <s v="Sales Team"/>
    <s v="Under Sales Team validation"/>
    <s v="No"/>
    <s v="N/A"/>
    <s v="PC"/>
    <n v="100161"/>
    <s v="Connor Bishop"/>
    <n v="100161"/>
    <s v="Connor Bishop"/>
    <n v="4"/>
    <x v="0"/>
    <s v="Connor Bishop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1623"/>
    <s v="POQLJ0083769"/>
    <s v="SO90116983769"/>
    <s v="50116955239"/>
    <d v="2024-08-16T00:00:00"/>
    <s v="1355937"/>
    <s v="GE A 5937"/>
    <s v="PO Closed"/>
    <n v="307.5"/>
    <n v="307.5"/>
    <d v="2026-06-22T00:00:00"/>
    <s v="Sales Team"/>
    <s v="Under Sales Team validation"/>
    <s v="No"/>
    <s v="N/A"/>
    <s v="PC"/>
    <n v="100191"/>
    <s v="Dominic Flores"/>
    <n v="100191"/>
    <s v="Dominic Flores"/>
    <n v="4"/>
    <x v="0"/>
    <s v="Dominic Flores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2893"/>
    <s v="PO39P0224998"/>
    <s v="SO91154624998"/>
    <s v="51154669958"/>
    <d v="2024-08-17T00:00:00"/>
    <s v="1355937"/>
    <s v="GE A 5937"/>
    <s v="PO Closed"/>
    <n v="307.5"/>
    <n v="307.5"/>
    <d v="2026-06-22T00:00:00"/>
    <s v="Sales Team"/>
    <s v="Under Sales Team validation"/>
    <s v="No"/>
    <s v="N/A"/>
    <s v="PC"/>
    <n v="100201"/>
    <s v="Aiden Harper"/>
    <n v="100201"/>
    <s v="Aiden Harper"/>
    <n v="4"/>
    <x v="0"/>
    <s v="Aiden Harper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4353"/>
    <s v="PO4420566227"/>
    <s v="SO91152266227"/>
    <s v="51152281297"/>
    <d v="2024-08-17T00:00:00"/>
    <s v="1355937"/>
    <s v="GE A 5937"/>
    <s v="PO Closed"/>
    <n v="307.5"/>
    <n v="307.5"/>
    <d v="2026-06-22T00:00:00"/>
    <s v="Sales Team"/>
    <s v="Under Sales Team validation"/>
    <s v="No"/>
    <s v="N/A"/>
    <s v="PC"/>
    <n v="100231"/>
    <s v="Jackson Norris"/>
    <n v="100231"/>
    <s v="Jackson Norris"/>
    <n v="4"/>
    <x v="0"/>
    <s v="Jackson Norris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4333"/>
    <s v="PO4420507456"/>
    <s v="SO91152207456"/>
    <s v="51152281276"/>
    <d v="2024-08-17T00:00:00"/>
    <s v="1355937"/>
    <s v="GE A 5937"/>
    <s v="PO Closed"/>
    <n v="307.5"/>
    <n v="307.5"/>
    <d v="2026-06-22T00:00:00"/>
    <s v="Sales Team"/>
    <s v="Under Sales Team validation"/>
    <s v="No"/>
    <s v="N/A"/>
    <s v="PC"/>
    <n v="100241"/>
    <s v="Leah Pearson"/>
    <n v="100241"/>
    <s v="Leah Pearson"/>
    <n v="4"/>
    <x v="0"/>
    <s v="Leah Pearson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4393"/>
    <s v="PO4420548685"/>
    <s v="SO91152248685"/>
    <s v="51152281185"/>
    <d v="2024-08-17T00:00:00"/>
    <s v="1355937"/>
    <s v="GE A 5937"/>
    <s v="PO Closed"/>
    <n v="307.5"/>
    <n v="307.5"/>
    <d v="2026-06-22T00:00:00"/>
    <s v="Sales Team"/>
    <s v="Under Sales Team validation"/>
    <s v="No"/>
    <s v="N/A"/>
    <s v="PC"/>
    <n v="100271"/>
    <s v="Brooke Palmer"/>
    <n v="100271"/>
    <s v="Brooke Palmer"/>
    <n v="4"/>
    <x v="0"/>
    <s v="Brooke Palmer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4383"/>
    <s v="PO4420589914"/>
    <s v="SO91152289914"/>
    <s v="51152281034"/>
    <d v="2024-08-17T00:00:00"/>
    <s v="1355937"/>
    <s v="GE A 5937"/>
    <s v="PO Closed"/>
    <n v="307.5"/>
    <n v="307.5"/>
    <d v="2026-06-22T00:00:00"/>
    <s v="Sales Team"/>
    <s v="Under Sales Team validation"/>
    <s v="No"/>
    <s v="N/A"/>
    <s v="PC"/>
    <n v="100281"/>
    <s v="Grace Whitaker"/>
    <n v="100281"/>
    <s v="Grace Whitaker"/>
    <n v="4"/>
    <x v="0"/>
    <s v="Grace Whitaker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4483"/>
    <s v="PO4420631143"/>
    <s v="SO91152931143"/>
    <s v="51152904103"/>
    <d v="2024-08-22T00:00:00"/>
    <s v="1355937"/>
    <s v="GE A 5937"/>
    <s v="PO Closed"/>
    <n v="386.25"/>
    <n v="386.25"/>
    <d v="2026-06-22T00:00:00"/>
    <s v="Sales Team"/>
    <s v="Under Sales Team validation"/>
    <s v="No"/>
    <s v="N/A"/>
    <s v="PC"/>
    <n v="100111"/>
    <s v="Andrew Ross"/>
    <n v="100111"/>
    <s v="Andrew Ross"/>
    <n v="4"/>
    <x v="0"/>
    <s v="Andrew Ross"/>
    <s v="Description -  This Req has been handled by Sales Team and this is related to PO Closed"/>
  </r>
  <r>
    <s v="A100"/>
    <s v="AFRA100"/>
    <s v="A100-141"/>
    <d v="2024-10-23T00:00:00"/>
    <d v="2025-06-12T00:00:00"/>
    <s v="180+"/>
    <s v="Africa"/>
    <n v="604"/>
    <n v="4264403"/>
    <s v="PO4420572372"/>
    <s v="SO91152272372"/>
    <s v="51152281312"/>
    <d v="2024-08-22T00:00:00"/>
    <s v="1355937"/>
    <s v="GE A 5937"/>
    <s v="PO Closed"/>
    <n v="307.5"/>
    <n v="307.5"/>
    <d v="2026-06-22T00:00:00"/>
    <s v="Sales Team"/>
    <s v="Under Sales Team validation"/>
    <s v="No"/>
    <s v="N/A"/>
    <s v="PC"/>
    <n v="100121"/>
    <s v="Olivia Jenkins"/>
    <n v="100121"/>
    <s v="Olivia Jenkins"/>
    <n v="4"/>
    <x v="0"/>
    <s v="Olivia Jenkins"/>
    <s v="Description -  This Req has been handled by Sales Team and this is related to PO Closed"/>
  </r>
  <r>
    <s v="A100"/>
    <s v="AFRA100"/>
    <s v="A100-141"/>
    <d v="2024-12-19T00:00:00"/>
    <d v="2025-06-12T00:00:00"/>
    <s v="180+"/>
    <s v="Africa"/>
    <n v="547"/>
    <n v="4275142"/>
    <s v="POP204006669"/>
    <s v="SO91155306669"/>
    <s v="51155334099"/>
    <d v="2024-11-12T00:00:00"/>
    <s v="1355937"/>
    <s v="GE A 5937"/>
    <s v="Unknown Deduction"/>
    <n v="104.95"/>
    <n v="104.95"/>
    <d v="2026-06-22T00:00:00"/>
    <s v="Credit Team"/>
    <s v="Under Credit Team validation"/>
    <s v="No"/>
    <s v="N/A"/>
    <s v="UN"/>
    <n v="100181"/>
    <s v="Ella Bennett"/>
    <n v="100151"/>
    <s v="Mason Reynolds"/>
    <n v="4"/>
    <x v="0"/>
    <s v="Mason Reynolds"/>
    <s v="Description -  This Req has been handled by Credit Team and this is related to Unknown Deduction"/>
  </r>
  <r>
    <s v="A100"/>
    <s v="AFRA100"/>
    <s v="A100-141"/>
    <d v="2025-01-30T00:00:00"/>
    <d v="2026-05-20T00:00:00"/>
    <s v="180+"/>
    <s v="Africa"/>
    <n v="505"/>
    <n v="4303812"/>
    <s v="POPO89412920"/>
    <s v="SO91153612920"/>
    <s v="51153605030"/>
    <d v="2025-01-29T00:00:00"/>
    <s v="1023247"/>
    <s v="HONE 3247"/>
    <s v="RMA Number Needed"/>
    <n v="1528.47"/>
    <n v="1528.47"/>
    <d v="2026-06-15T00:00:00"/>
    <s v="Materials Team"/>
    <s v="Under Materials Team validation"/>
    <s v="Yes"/>
    <s v="Manager"/>
    <s v="RM"/>
    <n v="100131"/>
    <s v="Emily Coleman"/>
    <n v="100111"/>
    <s v="Andrew Ross"/>
    <n v="11"/>
    <x v="0"/>
    <s v="Andrew Ross"/>
    <s v="Description -  This Req has been handled by Materials Team and this is related to RMA Number Needed"/>
  </r>
  <r>
    <s v="A100"/>
    <s v="AFRA100"/>
    <s v="A100-141"/>
    <d v="2025-02-13T00:00:00"/>
    <d v="2026-04-10T00:00:00"/>
    <s v="180+"/>
    <s v="Africa"/>
    <n v="491"/>
    <n v="4308382"/>
    <s v="PO4420997164"/>
    <s v="SO91155597164"/>
    <s v="51155577214"/>
    <d v="2023-12-04T00:00:00"/>
    <s v="1023247"/>
    <s v="HONE 3247"/>
    <s v="Resolve with Buyer"/>
    <n v="5229.75"/>
    <n v="5229.75"/>
    <d v="2026-06-15T00:00:00"/>
    <s v="Sales Team"/>
    <s v="Under Sales Team validation"/>
    <s v="Yes"/>
    <s v="Manager"/>
    <s v="RB"/>
    <n v="100151"/>
    <s v="Mason Reynolds"/>
    <n v="100151"/>
    <s v="Mason Reynolds"/>
    <n v="11"/>
    <x v="0"/>
    <s v="Mason Reynolds"/>
    <s v="Description -  This Req has been handled by Sales Team and this is related to Resolve with Buyer"/>
  </r>
  <r>
    <s v="A100"/>
    <s v="AFRA100"/>
    <s v="A100-141"/>
    <d v="2025-03-03T00:00:00"/>
    <d v="2026-05-20T00:00:00"/>
    <s v="180+"/>
    <s v="Africa"/>
    <n v="473"/>
    <n v="4314212"/>
    <s v="PO4420581408"/>
    <s v="SO91155881408"/>
    <s v="51155833558"/>
    <d v="2025-01-24T00:00:00"/>
    <s v="1023247"/>
    <s v="HONE 3247"/>
    <s v="Pricing Error"/>
    <n v="15757.04"/>
    <n v="87747.92"/>
    <d v="2026-06-15T00:00:00"/>
    <s v="Sales Team"/>
    <s v="Under Sales Team validation"/>
    <s v="Yes"/>
    <s v="Manager"/>
    <s v="PE"/>
    <n v="100161"/>
    <s v="Connor Bishop"/>
    <n v="100161"/>
    <s v="Connor Bishop"/>
    <n v="11"/>
    <x v="0"/>
    <s v="Connor Bishop"/>
    <s v="Description -  This Req has been handled by Sales Team and this is related to Pricing Error"/>
  </r>
  <r>
    <s v="A100"/>
    <s v="AFRA100"/>
    <s v="A100-141"/>
    <d v="2025-03-06T00:00:00"/>
    <d v="2026-05-20T00:00:00"/>
    <s v="180+"/>
    <s v="Africa"/>
    <n v="470"/>
    <n v="4314222"/>
    <s v="PO4420963866"/>
    <s v="SO91154763866"/>
    <s v="51154777096"/>
    <d v="2024-11-01T00:00:00"/>
    <s v="1023247"/>
    <s v="HONE 3247"/>
    <s v="No Receiver"/>
    <n v="2260"/>
    <n v="2260"/>
    <d v="2026-06-15T00:00:00"/>
    <s v="Sales Team"/>
    <s v="Under Sales Team validation"/>
    <s v="Yes"/>
    <s v="Manager"/>
    <s v="NR"/>
    <n v="100191"/>
    <s v="Dominic Flores"/>
    <n v="100191"/>
    <s v="Dominic Flores"/>
    <n v="11"/>
    <x v="0"/>
    <s v="Dominic Flores"/>
    <s v="Description -  This Req has been handled by Sales Team and this is related to No Receiver"/>
  </r>
  <r>
    <s v="A100"/>
    <s v="AFRA100"/>
    <s v="A100-141"/>
    <d v="2025-05-01T00:00:00"/>
    <d v="2026-05-20T00:00:00"/>
    <s v="180+"/>
    <s v="Africa"/>
    <n v="414"/>
    <n v="4324812"/>
    <s v="PO4419844644"/>
    <s v="SO91151144644"/>
    <s v="51151169414"/>
    <d v="2025-04-30T00:00:00"/>
    <s v="1023247"/>
    <s v="HONE 3247"/>
    <s v="Resolve with Buyer"/>
    <n v="720"/>
    <n v="720"/>
    <d v="2026-06-15T00:00:00"/>
    <s v="Sales Team"/>
    <s v="Under Sales Team validation"/>
    <s v="Yes"/>
    <s v="Manager"/>
    <s v="RB"/>
    <n v="100201"/>
    <s v="Aiden Harper"/>
    <n v="100201"/>
    <s v="Aiden Harper"/>
    <n v="11"/>
    <x v="0"/>
    <s v="Aiden Harper"/>
    <s v="Description -  This Req has been handled by Sales Team and this is related to Resolve with Buyer"/>
  </r>
  <r>
    <s v="A100"/>
    <s v="AFRA100"/>
    <s v="A100-141"/>
    <d v="2025-05-01T00:00:00"/>
    <d v="2025-06-12T00:00:00"/>
    <s v="180+"/>
    <s v="Africa"/>
    <n v="414"/>
    <n v="4327591"/>
    <s v="PO4420668331"/>
    <s v="SO91156768331"/>
    <s v="51156730291"/>
    <d v="2025-01-17T00:00:00"/>
    <s v="1355937"/>
    <s v="GE A 5937"/>
    <s v="PO Closed"/>
    <n v="386.25"/>
    <n v="386.25"/>
    <d v="2026-06-22T00:00:00"/>
    <s v="Sales Team"/>
    <s v="Under Sales Team validation"/>
    <s v="No"/>
    <s v="N/A"/>
    <s v="PC"/>
    <n v="100231"/>
    <s v="Jackson Norris"/>
    <n v="100231"/>
    <s v="Jackson Norris"/>
    <n v="4"/>
    <x v="0"/>
    <s v="Jackson Norris"/>
    <s v="Description -  This Req has been handled by Sales Team and this is related to PO Closed"/>
  </r>
  <r>
    <s v="A100"/>
    <s v="AFRA100"/>
    <s v="A100-141"/>
    <d v="2025-05-06T00:00:00"/>
    <d v="2026-06-08T00:00:00"/>
    <s v="180+"/>
    <s v="Africa"/>
    <n v="409"/>
    <n v="4328411"/>
    <s v="PO4421009560"/>
    <s v="SO91156809560"/>
    <s v="51156869360"/>
    <d v="2025-04-24T00:00:00"/>
    <s v="1443616"/>
    <s v="SPAC 3616"/>
    <s v="Pricing Error"/>
    <n v="1250"/>
    <n v="9860"/>
    <d v="2026-06-15T00:00:00"/>
    <s v="Sales Team"/>
    <s v="Under Sales Team validation"/>
    <s v="Yes"/>
    <s v="Manager"/>
    <s v="PE"/>
    <n v="100241"/>
    <s v="Leah Pearson"/>
    <n v="100241"/>
    <s v="Leah Pearson"/>
    <n v="11"/>
    <x v="0"/>
    <s v="Leah Pearson"/>
    <s v="Description -  This Req has been handled by Sales Team and this is related to Pricing Error"/>
  </r>
  <r>
    <s v="A100"/>
    <s v="AFRA100"/>
    <s v="A100-141"/>
    <d v="2025-05-30T00:00:00"/>
    <d v="2026-04-10T00:00:00"/>
    <s v="180+"/>
    <s v="Africa"/>
    <n v="385"/>
    <n v="4330111"/>
    <s v="PO4420710453"/>
    <s v="SO91156910453"/>
    <s v="51156986053"/>
    <d v="2025-05-28T00:00:00"/>
    <s v="1023247"/>
    <s v="HONE 3247"/>
    <s v="RMA Number Needed"/>
    <n v="3126.82"/>
    <n v="3126.82"/>
    <d v="2026-06-15T00:00:00"/>
    <s v="Materials Team"/>
    <s v="Under Materials Team validation"/>
    <s v="Yes"/>
    <s v="Manager"/>
    <s v="RM"/>
    <n v="100171"/>
    <s v="Sophia Turner"/>
    <n v="100121"/>
    <s v="Olivia Jenkins"/>
    <n v="11"/>
    <x v="0"/>
    <s v="Olivia Jenkins"/>
    <s v="Description -  This Req has been handled by Materials Team and this is related to RMA Number Needed"/>
  </r>
  <r>
    <s v="A100"/>
    <s v="AFRA100"/>
    <s v="A100-141"/>
    <d v="2025-05-30T00:00:00"/>
    <d v="2025-06-11T00:00:00"/>
    <s v="180+"/>
    <s v="Africa"/>
    <n v="385"/>
    <n v="4329991"/>
    <s v="PO4420734140"/>
    <s v="SO91157034140"/>
    <s v="51157081730"/>
    <d v="2025-05-14T00:00:00"/>
    <s v="1443616"/>
    <s v="SPAC 3616"/>
    <s v="Resolve with Buyer"/>
    <n v="12.5"/>
    <n v="12.5"/>
    <d v="2026-06-15T00:00:00"/>
    <s v="Sales Team"/>
    <s v="Under Sales Team validation"/>
    <s v="Yes"/>
    <s v="Manager"/>
    <s v="RB"/>
    <n v="100271"/>
    <s v="Brooke Palmer"/>
    <n v="100271"/>
    <s v="Brooke Palmer"/>
    <n v="11"/>
    <x v="0"/>
    <s v="Brooke Palmer"/>
    <s v="Description -  This Req has been handled by Sales Team and this is related to Resolve with Buyer"/>
  </r>
  <r>
    <s v="A100"/>
    <s v="AFRA100"/>
    <s v="A100-141"/>
    <d v="2025-06-16T00:00:00"/>
    <d v="2025-06-16T00:00:00"/>
    <s v="180+"/>
    <s v="Africa"/>
    <n v="368"/>
    <n v="4333141"/>
    <s v="PO4500099949"/>
    <s v="SO91153299949"/>
    <s v="51153272329"/>
    <d v="2025-05-30T00:00:00"/>
    <s v="1443616"/>
    <s v="SPAC 3616"/>
    <s v="No Receiver"/>
    <n v="1874.5"/>
    <n v="1874.5"/>
    <d v="2026-06-15T00:00:00"/>
    <s v="Sales Team"/>
    <s v="Under Sales Team validation"/>
    <s v="Yes"/>
    <s v="Manager"/>
    <s v="NR"/>
    <n v="100281"/>
    <s v="Grace Whitaker"/>
    <n v="100281"/>
    <s v="Grace Whitaker"/>
    <n v="11"/>
    <x v="0"/>
    <s v="Grace Whitaker"/>
    <s v="Description -  This Req has been handled by Sales Team and this is related to No Receiver"/>
  </r>
  <r>
    <s v="A100"/>
    <s v="AFRA100"/>
    <s v="A100-141"/>
    <d v="2025-06-30T00:00:00"/>
    <d v="2025-10-16T00:00:00"/>
    <s v="180+"/>
    <s v="Africa"/>
    <n v="354"/>
    <n v="4332291"/>
    <s v="PO2100354361"/>
    <s v="SO91158654361"/>
    <s v="51158624431"/>
    <d v="2025-06-10T00:00:00"/>
    <s v="1443616"/>
    <s v="SPAC 3616"/>
    <s v="Resolve with Buyer"/>
    <n v="7349.56"/>
    <n v="7349.56"/>
    <d v="2026-06-15T00:00:00"/>
    <s v="Sales Team"/>
    <s v="Under Sales Team validation"/>
    <s v="Yes"/>
    <s v="Manager"/>
    <s v="RB"/>
    <n v="100111"/>
    <s v="Andrew Ross"/>
    <n v="100111"/>
    <s v="Andrew Ross"/>
    <n v="11"/>
    <x v="0"/>
    <s v="Andrew Ross"/>
    <s v="Description -  This Req has been handled by Sales Team and this is related to Resolve with Buyer"/>
  </r>
  <r>
    <s v="A100"/>
    <s v="AFRA100"/>
    <s v="A100-141"/>
    <d v="2025-08-01T00:00:00"/>
    <d v="2025-08-01T00:00:00"/>
    <s v="180+"/>
    <s v="Africa"/>
    <n v="322"/>
    <n v="4351621"/>
    <s v="PO4421775475"/>
    <s v="SO95113275475"/>
    <s v="55113258555"/>
    <d v="2025-07-17T00:00:00"/>
    <s v="1443616"/>
    <s v="SPAC 3616"/>
    <s v="No Receiver"/>
    <n v="23400"/>
    <n v="23400"/>
    <d v="2026-06-15T00:00:00"/>
    <s v="Sales Team"/>
    <s v="Under Sales Team validation"/>
    <s v="Yes"/>
    <s v="Manager"/>
    <s v="NR"/>
    <n v="100121"/>
    <s v="Olivia Jenkins"/>
    <n v="100121"/>
    <s v="Olivia Jenkins"/>
    <n v="11"/>
    <x v="0"/>
    <s v="Olivia Jenkins"/>
    <s v="Description -  This Req has been handled by Sales Team and this is related to No Receiver"/>
  </r>
  <r>
    <s v="A100"/>
    <s v="AFRA100"/>
    <s v="A100-141"/>
    <d v="2025-08-02T00:00:00"/>
    <d v="2025-08-02T00:00:00"/>
    <s v="180+"/>
    <s v="Africa"/>
    <n v="321"/>
    <n v="4353001"/>
    <s v="PO4420722849"/>
    <s v="SO91157922849"/>
    <s v="51157989199"/>
    <d v="2025-07-31T00:00:00"/>
    <s v="1355937"/>
    <s v="GE A 5937"/>
    <s v="Unknown Deduction"/>
    <n v="306.92"/>
    <n v="306.92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5-08-15T00:00:00"/>
    <d v="2025-10-15T00:00:00"/>
    <s v="180+"/>
    <s v="Africa"/>
    <n v="308"/>
    <n v="4356661"/>
    <s v="PO3014172009"/>
    <s v="SO91160872009"/>
    <s v="51160871469"/>
    <d v="2025-07-22T00:00:00"/>
    <s v="1355937"/>
    <s v="GE A 5937"/>
    <s v="Unknown Deduction"/>
    <n v="7.1"/>
    <n v="578.82000000000005"/>
    <d v="2026-06-22T00:00:00"/>
    <s v="Credit Team"/>
    <s v="Under Credit Team validation"/>
    <s v="No"/>
    <s v="N/A"/>
    <s v="UN"/>
    <n v="100261"/>
    <s v="Taylor Jennings"/>
    <n v="100191"/>
    <s v="Dominic Flores"/>
    <n v="4"/>
    <x v="0"/>
    <s v="Dominic Flores"/>
    <s v="Description -  This Req has been handled by Credit Team and this is related to Unknown Deduction"/>
  </r>
  <r>
    <s v="A100"/>
    <s v="AFRA100"/>
    <s v="A100-141"/>
    <d v="2025-08-16T00:00:00"/>
    <d v="2025-08-16T00:00:00"/>
    <s v="180+"/>
    <s v="Africa"/>
    <n v="307"/>
    <n v="4356401"/>
    <s v="PO3014154467"/>
    <s v="SO91160854467"/>
    <s v="51160871477"/>
    <d v="2025-08-01T00:00:00"/>
    <s v="1355937"/>
    <s v="GE A 5937"/>
    <s v="Unknown Deduction"/>
    <n v="146.15"/>
    <n v="146.15"/>
    <d v="2026-06-22T00:00:00"/>
    <s v="Credit Team"/>
    <s v="Under Credit Team validation"/>
    <s v="No"/>
    <s v="N/A"/>
    <s v="UN"/>
    <n v="100101"/>
    <s v="James Mitchell"/>
    <n v="100111"/>
    <s v="Andrew Ross"/>
    <n v="4"/>
    <x v="0"/>
    <s v="Andrew Ross"/>
    <s v="Description -  This Req has been handled by Credit Team and this is related to Unknown Deduction"/>
  </r>
  <r>
    <s v="A100"/>
    <s v="AFRA100"/>
    <s v="A100-141"/>
    <d v="2025-08-21T00:00:00"/>
    <d v="2026-05-20T00:00:00"/>
    <s v="180+"/>
    <s v="Africa"/>
    <n v="302"/>
    <n v="4356561"/>
    <s v="PO3014219383"/>
    <s v="SO91160719383"/>
    <s v="51160727893"/>
    <d v="2025-02-12T00:00:00"/>
    <s v="1023247"/>
    <s v="HONE 3247"/>
    <s v="No Receiver"/>
    <n v="6481.3"/>
    <n v="6481.3"/>
    <d v="2026-06-15T00:00:00"/>
    <s v="Sales Team"/>
    <s v="Under Sales Team validation"/>
    <s v="Yes"/>
    <s v="Manager"/>
    <s v="NR"/>
    <n v="100151"/>
    <s v="Mason Reynolds"/>
    <n v="100151"/>
    <s v="Mason Reynolds"/>
    <n v="11"/>
    <x v="0"/>
    <s v="Mason Reynolds"/>
    <s v="Description -  This Req has been handled by Sales Team and this is related to No Receiver"/>
  </r>
  <r>
    <s v="A100"/>
    <s v="AFRA100"/>
    <s v="A100-141"/>
    <d v="2025-09-11T00:00:00"/>
    <d v="2026-06-09T00:00:00"/>
    <s v="180+"/>
    <s v="Africa"/>
    <n v="281"/>
    <n v="4367001"/>
    <s v="PO4518574688"/>
    <s v="SO91160274688"/>
    <s v="51160297898"/>
    <d v="2025-06-27T00:00:00"/>
    <s v="1361989"/>
    <s v="ICU  1989"/>
    <s v="Resolve with Buyer"/>
    <n v="540"/>
    <n v="540"/>
    <d v="2026-06-03T00:00:00"/>
    <s v="Sales Team"/>
    <s v="Under Sales Team validation"/>
    <s v="No"/>
    <s v="N/A"/>
    <s v="RB"/>
    <n v="100161"/>
    <s v="Connor Bishop"/>
    <n v="100161"/>
    <s v="Connor Bishop"/>
    <n v="23"/>
    <x v="0"/>
    <s v="Connor Bishop"/>
    <s v="Description -  This Req has been handled by Sales Team and this is related to Resolve with Buyer"/>
  </r>
  <r>
    <s v="A100"/>
    <s v="AFRA100"/>
    <s v="A100-141"/>
    <d v="2025-09-19T00:00:00"/>
    <d v="2025-09-19T00:00:00"/>
    <s v="180+"/>
    <s v="Africa"/>
    <n v="273"/>
    <n v="4372891"/>
    <s v="PO3014129100"/>
    <s v="SO91162129100"/>
    <s v="51162145640"/>
    <d v="2025-08-26T00:00:00"/>
    <s v="1443616"/>
    <s v="SPAC 3616"/>
    <s v="No Receiver"/>
    <n v="11765.88"/>
    <n v="11765.88"/>
    <d v="2026-06-15T00:00:00"/>
    <s v="Sales Team"/>
    <s v="Under Sales Team validation"/>
    <s v="Yes"/>
    <s v="Manager"/>
    <s v="NR"/>
    <n v="100191"/>
    <s v="Dominic Flores"/>
    <n v="100191"/>
    <s v="Dominic Flores"/>
    <n v="11"/>
    <x v="0"/>
    <s v="Dominic Flores"/>
    <s v="Description -  This Req has been handled by Sales Team and this is related to No Receiver"/>
  </r>
  <r>
    <s v="A100"/>
    <s v="AFRA100"/>
    <s v="A100-141"/>
    <d v="2025-10-02T00:00:00"/>
    <d v="2026-05-20T00:00:00"/>
    <s v="180+"/>
    <s v="Africa"/>
    <n v="260"/>
    <n v="4377371"/>
    <s v="POPOJS160718"/>
    <s v="SO91151060718"/>
    <s v="51151026128"/>
    <d v="2025-10-01T00:00:00"/>
    <s v="1023247"/>
    <s v="HONE 3247"/>
    <s v="Resolve with Buyer"/>
    <n v="2295.64"/>
    <n v="2295.64"/>
    <d v="2026-06-15T00:00:00"/>
    <s v="Sales Team"/>
    <s v="Under Sales Team validation"/>
    <s v="Yes"/>
    <s v="Manager"/>
    <s v="RB"/>
    <n v="100201"/>
    <s v="Aiden Harper"/>
    <n v="100201"/>
    <s v="Aiden Harper"/>
    <n v="11"/>
    <x v="0"/>
    <s v="Aiden Harper"/>
    <s v="Description -  This Req has been handled by Sales Team and this is related to Resolve with Buyer"/>
  </r>
  <r>
    <s v="A100"/>
    <s v="AFRA100"/>
    <s v="A100-141"/>
    <d v="2025-10-15T00:00:00"/>
    <d v="2026-05-18T00:00:00"/>
    <s v="180+"/>
    <s v="Africa"/>
    <n v="247"/>
    <n v="4386228"/>
    <s v="PO7959598481"/>
    <s v="SO90117798481"/>
    <s v="50117795951"/>
    <d v="2025-04-21T00:00:00"/>
    <s v="1286262"/>
    <s v="SIEM 6262"/>
    <s v="Resolve with Buyer"/>
    <n v="100"/>
    <n v="100"/>
    <d v="2026-06-22T00:00:00"/>
    <s v="Sales Team"/>
    <s v="Under Sales Team validation"/>
    <s v="No"/>
    <s v="N/A"/>
    <s v="RB"/>
    <n v="100231"/>
    <s v="Jackson Norris"/>
    <n v="100231"/>
    <s v="Jackson Norris"/>
    <n v="4"/>
    <x v="0"/>
    <s v="Jackson Norris"/>
    <s v="Description -  This Req has been handled by Sales Team and this is related to Resolve with Buyer"/>
  </r>
  <r>
    <s v="A100"/>
    <s v="AFRA100"/>
    <s v="A100-141"/>
    <d v="2025-10-31T00:00:00"/>
    <d v="2026-06-08T00:00:00"/>
    <s v="180+"/>
    <s v="Africa"/>
    <n v="231"/>
    <n v="4392867"/>
    <s v="PO2024030099"/>
    <s v="SO95113330099"/>
    <s v="55113373969"/>
    <d v="2025-10-15T00:00:00"/>
    <s v="1443616"/>
    <s v="SPAC 3616"/>
    <s v="Pricing Error"/>
    <n v="23800"/>
    <n v="240380"/>
    <d v="2026-06-15T00:00:00"/>
    <s v="Sales Team"/>
    <s v="Under Sales Team validation"/>
    <s v="Yes"/>
    <s v="Manager"/>
    <s v="PE"/>
    <n v="100241"/>
    <s v="Leah Pearson"/>
    <n v="100241"/>
    <s v="Leah Pearson"/>
    <n v="11"/>
    <x v="0"/>
    <s v="Leah Pearson"/>
    <s v="Description -  This Req has been handled by Sales Team and this is related to Pricing Error"/>
  </r>
  <r>
    <s v="A100"/>
    <s v="AFRA100"/>
    <s v="A100-141"/>
    <d v="2025-11-05T00:00:00"/>
    <d v="2025-12-24T00:00:00"/>
    <s v="180+"/>
    <s v="Africa"/>
    <n v="226"/>
    <n v="4395956"/>
    <s v="POME38A07305"/>
    <s v="SO91162307305"/>
    <s v="51162318525"/>
    <d v="2025-09-17T00:00:00"/>
    <s v="1200360"/>
    <s v="JABI 0360"/>
    <s v="Unknown Deduction"/>
    <n v="194.8"/>
    <n v="370.42"/>
    <d v="2026-03-10T00:00:00"/>
    <s v="Credit Team"/>
    <s v="Under Credit Team validation"/>
    <s v="No"/>
    <s v="N/A"/>
    <s v="UN"/>
    <n v="100141"/>
    <s v="Liam Matthews"/>
    <n v="100121"/>
    <s v="Olivia Jenkins"/>
    <n v="108"/>
    <x v="0"/>
    <s v="Olivia Jenkins"/>
    <s v="Description -  This Req has been handled by Credit Team and this is related to Unknown Deduction"/>
  </r>
  <r>
    <s v="A100"/>
    <s v="AFRA100"/>
    <s v="A100-141"/>
    <d v="2025-11-05T00:00:00"/>
    <d v="2025-12-24T00:00:00"/>
    <s v="180+"/>
    <s v="Africa"/>
    <n v="226"/>
    <n v="4395716"/>
    <s v="PO07-FE48534"/>
    <s v="SO91160148534"/>
    <s v="51160154034"/>
    <d v="2025-07-23T00:00:00"/>
    <s v="1200360"/>
    <s v="JABI 0360"/>
    <s v="Unknown Deduction"/>
    <n v="389.6"/>
    <n v="1492.42"/>
    <d v="2026-03-10T00:00:00"/>
    <s v="Credit Team"/>
    <s v="Under Credit Team validation"/>
    <s v="No"/>
    <s v="N/A"/>
    <s v="UN"/>
    <n v="100181"/>
    <s v="Ella Bennett"/>
    <n v="100151"/>
    <s v="Mason Reynolds"/>
    <n v="108"/>
    <x v="0"/>
    <s v="Mason Reynolds"/>
    <s v="Description -  This Req has been handled by Credit Team and this is related to Unknown Deduction"/>
  </r>
  <r>
    <s v="A100"/>
    <s v="AFRA100"/>
    <s v="A100-141"/>
    <d v="2025-11-05T00:00:00"/>
    <d v="2025-12-24T00:00:00"/>
    <s v="180+"/>
    <s v="Africa"/>
    <n v="226"/>
    <n v="4395796"/>
    <s v="PO14-FE89763"/>
    <s v="SO91160989763"/>
    <s v="51160979923"/>
    <d v="2025-08-07T00:00:00"/>
    <s v="1200360"/>
    <s v="JABI 0360"/>
    <s v="Unknown Deduction"/>
    <n v="364"/>
    <n v="776.73"/>
    <d v="2026-03-10T00:00:00"/>
    <s v="Credit Team"/>
    <s v="Under Credit Team validation"/>
    <s v="No"/>
    <s v="N/A"/>
    <s v="UN"/>
    <n v="100221"/>
    <s v="Eli Hudson"/>
    <n v="100161"/>
    <s v="Connor Bishop"/>
    <n v="108"/>
    <x v="0"/>
    <s v="Connor Bishop"/>
    <s v="Description -  This Req has been handled by Credit Team and this is related to Unknown Deduction"/>
  </r>
  <r>
    <s v="A100"/>
    <s v="AFRA100"/>
    <s v="A100-141"/>
    <d v="2025-11-13T00:00:00"/>
    <d v="2025-11-13T00:00:00"/>
    <s v="180+"/>
    <s v="Africa"/>
    <n v="218"/>
    <n v="4398986"/>
    <s v="POWol84511"/>
    <s v="SO91160384511"/>
    <s v="51160320651"/>
    <d v="2025-09-16T00:00:00"/>
    <s v="1443616"/>
    <s v="SPAC 3616"/>
    <s v="Resolve with Buyer"/>
    <n v="25000"/>
    <n v="25000"/>
    <d v="2026-06-15T00:00:00"/>
    <s v="Sales Team"/>
    <s v="Under Sales Team validation"/>
    <s v="Yes"/>
    <s v="Manager"/>
    <s v="RB"/>
    <n v="100271"/>
    <s v="Brooke Palmer"/>
    <n v="100271"/>
    <s v="Brooke Palmer"/>
    <n v="11"/>
    <x v="0"/>
    <s v="Brooke Palmer"/>
    <s v="Description -  This Req has been handled by Sales Team and this is related to Resolve with Buyer"/>
  </r>
  <r>
    <s v="A100"/>
    <s v="AFRA100"/>
    <s v="A100-141"/>
    <d v="2025-12-05T00:00:00"/>
    <d v="2025-12-24T00:00:00"/>
    <s v="180+"/>
    <s v="Africa"/>
    <n v="196"/>
    <n v="4399905"/>
    <s v="PO4421539816"/>
    <s v="SO91159739816"/>
    <s v="51159703866"/>
    <d v="2025-08-06T00:00:00"/>
    <s v="1200360"/>
    <s v="JABI 0360"/>
    <s v="Unknown Deduction"/>
    <n v="364"/>
    <n v="793.22"/>
    <d v="2026-03-10T00:00:00"/>
    <s v="Credit Team"/>
    <s v="Under Credit Team validation"/>
    <s v="No"/>
    <s v="N/A"/>
    <s v="UN"/>
    <n v="100261"/>
    <s v="Taylor Jennings"/>
    <n v="100191"/>
    <s v="Dominic Flores"/>
    <n v="108"/>
    <x v="0"/>
    <s v="Dominic Flores"/>
    <s v="Description -  This Req has been handled by Credit Team and this is related to Unknown Deduction"/>
  </r>
  <r>
    <s v="A100"/>
    <s v="AFRA100"/>
    <s v="A100-141"/>
    <d v="2025-12-05T00:00:00"/>
    <d v="2025-12-24T00:00:00"/>
    <s v="180+"/>
    <s v="Africa"/>
    <n v="196"/>
    <n v="4404605"/>
    <s v="PO05-AD81045"/>
    <s v="SO91161181045"/>
    <s v="51161151795"/>
    <d v="2025-09-17T00:00:00"/>
    <s v="1200360"/>
    <s v="JABI 0360"/>
    <s v="Unknown Deduction"/>
    <n v="364"/>
    <n v="689.12"/>
    <d v="2026-03-10T00:00:00"/>
    <s v="Credit Team"/>
    <s v="Under Credit Team validation"/>
    <s v="No"/>
    <s v="N/A"/>
    <s v="UN"/>
    <n v="100101"/>
    <s v="James Mitchell"/>
    <n v="100111"/>
    <s v="Andrew Ross"/>
    <n v="108"/>
    <x v="0"/>
    <s v="Andrew Ross"/>
    <s v="Description -  This Req has been handled by Credit Team and this is related to Unknown Deduction"/>
  </r>
  <r>
    <s v="A100"/>
    <s v="AFRA100"/>
    <s v="A100-141"/>
    <d v="2025-12-05T00:00:00"/>
    <d v="2025-12-24T00:00:00"/>
    <s v="180+"/>
    <s v="Africa"/>
    <n v="196"/>
    <n v="4404585"/>
    <s v="PO05-AD22274"/>
    <s v="SO91160922274"/>
    <s v="51160913864"/>
    <d v="2025-08-14T00:00:00"/>
    <s v="1200360"/>
    <s v="JABI 0360"/>
    <s v="Unknown Deduction"/>
    <n v="728"/>
    <n v="1697.38"/>
    <d v="2026-03-10T00:00:00"/>
    <s v="Credit Team"/>
    <s v="Under Credit Team validation"/>
    <s v="No"/>
    <s v="N/A"/>
    <s v="UN"/>
    <n v="100141"/>
    <s v="Liam Matthews"/>
    <n v="100121"/>
    <s v="Olivia Jenkins"/>
    <n v="108"/>
    <x v="0"/>
    <s v="Olivia Jenkins"/>
    <s v="Description -  This Req has been handled by Credit Team and this is related to Unknown Deduction"/>
  </r>
  <r>
    <s v="A100"/>
    <s v="AFRA100"/>
    <s v="A100-141"/>
    <d v="2025-12-05T00:00:00"/>
    <d v="2025-12-24T00:00:00"/>
    <s v="180+"/>
    <s v="Africa"/>
    <n v="196"/>
    <n v="4404575"/>
    <s v="PO05-AD63503"/>
    <s v="SO91160563503"/>
    <s v="51160552653"/>
    <d v="2025-09-17T00:00:00"/>
    <s v="1200360"/>
    <s v="JABI 0360"/>
    <s v="Unknown Deduction"/>
    <n v="364"/>
    <n v="563.71"/>
    <d v="2026-03-10T00:00:00"/>
    <s v="Credit Team"/>
    <s v="Under Credit Team validation"/>
    <s v="No"/>
    <s v="N/A"/>
    <s v="UN"/>
    <n v="100181"/>
    <s v="Ella Bennett"/>
    <n v="100151"/>
    <s v="Mason Reynolds"/>
    <n v="108"/>
    <x v="0"/>
    <s v="Mason Reynolds"/>
    <s v="Description -  This Req has been handled by Credit Team and this is related to Unknown Deduction"/>
  </r>
  <r>
    <s v="A100"/>
    <s v="AFRA100"/>
    <s v="A100-141"/>
    <d v="2025-12-16T00:00:00"/>
    <d v="2026-03-18T00:00:00"/>
    <s v="180+"/>
    <s v="Africa"/>
    <n v="185"/>
    <n v="4407134"/>
    <s v="PO4502247747"/>
    <s v="SO91161447747"/>
    <s v="51161453037"/>
    <d v="2025-09-30T00:00:00"/>
    <s v="1200360"/>
    <s v="JABI 0360"/>
    <s v="Resolve with Buyer"/>
    <n v="493.2"/>
    <n v="1147.3699999999999"/>
    <d v="2026-03-10T00:00:00"/>
    <s v="Sales Team"/>
    <s v="Under Sales Team validation"/>
    <s v="No"/>
    <s v="N/A"/>
    <s v="RB"/>
    <n v="100281"/>
    <s v="Grace Whitaker"/>
    <n v="100281"/>
    <s v="Grace Whitaker"/>
    <n v="108"/>
    <x v="0"/>
    <s v="Grace Whitaker"/>
    <s v="Description -  This Req has been handled by Sales Team and this is related to Resolve with Buyer"/>
  </r>
  <r>
    <s v="A100"/>
    <s v="AFRA100"/>
    <s v="A100-141"/>
    <d v="2025-12-18T00:00:00"/>
    <d v="2025-12-18T00:00:00"/>
    <s v="180+"/>
    <s v="Africa"/>
    <n v="183"/>
    <n v="4406654"/>
    <s v="PO4504512663"/>
    <s v="SO91162412663"/>
    <s v="51162447353"/>
    <d v="2025-11-04T00:00:00"/>
    <s v="1443616"/>
    <s v="SPAC 3616"/>
    <s v="Resolve with Buyer"/>
    <n v="3897"/>
    <n v="3897"/>
    <d v="2026-06-15T00:00:00"/>
    <s v="Sales Team"/>
    <s v="Under Sales Team validation"/>
    <s v="Yes"/>
    <s v="Manager"/>
    <s v="RB"/>
    <n v="100111"/>
    <s v="Andrew Ross"/>
    <n v="100111"/>
    <s v="Andrew Ross"/>
    <n v="11"/>
    <x v="0"/>
    <s v="Andrew Ross"/>
    <s v="Description -  This Req has been handled by Sales Team and this is related to Resolve with Buyer"/>
  </r>
  <r>
    <s v="A100"/>
    <s v="AFRA100"/>
    <s v="A100-141"/>
    <d v="2025-12-19T00:00:00"/>
    <d v="2026-05-20T00:00:00"/>
    <s v="180+"/>
    <s v="Africa"/>
    <n v="182"/>
    <n v="4413854"/>
    <s v="PO3251091655"/>
    <s v="SO91162891655"/>
    <s v="51162874045"/>
    <d v="2025-12-17T00:00:00"/>
    <s v="1023247"/>
    <s v="HONE 3247"/>
    <s v="RMA Number Needed"/>
    <n v="551.22"/>
    <n v="551.22"/>
    <d v="2026-06-15T00:00:00"/>
    <s v="Materials Team"/>
    <s v="Under Materials Team validation"/>
    <s v="Yes"/>
    <s v="Manager"/>
    <s v="RM"/>
    <n v="100211"/>
    <s v="Charles Benson"/>
    <n v="100151"/>
    <s v="Mason Reynolds"/>
    <n v="11"/>
    <x v="0"/>
    <s v="Mason Reynolds"/>
    <s v="Description -  This Req has been handled by Materials Team and this is related to RMA Number Needed"/>
  </r>
  <r>
    <s v="A100"/>
    <s v="AFRA100"/>
    <s v="A100-141"/>
    <d v="2025-12-22T00:00:00"/>
    <d v="2025-12-22T00:00:00"/>
    <s v="90+"/>
    <s v="Africa"/>
    <n v="179"/>
    <n v="4412684"/>
    <s v="POcriti15342"/>
    <s v="SO91160215342"/>
    <s v="51160296922"/>
    <d v="2025-11-06T00:00:00"/>
    <s v="1443616"/>
    <s v="SPAC 3616"/>
    <s v="Resolve with Buyer"/>
    <n v="3152"/>
    <n v="3152"/>
    <d v="2026-06-15T00:00:00"/>
    <s v="Sales Team"/>
    <s v="Under Sales Team validation"/>
    <s v="Yes"/>
    <s v="Manager"/>
    <s v="RB"/>
    <n v="100121"/>
    <s v="Olivia Jenkins"/>
    <n v="100121"/>
    <s v="Olivia Jenkins"/>
    <n v="11"/>
    <x v="0"/>
    <s v="Olivia Jenkins"/>
    <s v="Description -  This Req has been handled by Sales Team and this is related to Resolve with Buyer"/>
  </r>
  <r>
    <s v="A100"/>
    <s v="AFRA100"/>
    <s v="A100-141"/>
    <d v="2025-12-23T00:00:00"/>
    <d v="2025-12-23T00:00:00"/>
    <s v="90+"/>
    <s v="Africa"/>
    <n v="178"/>
    <n v="4413864"/>
    <s v="PO3251056571"/>
    <s v="SO91162956571"/>
    <s v="51162969701"/>
    <d v="2025-11-13T00:00:00"/>
    <s v="1443616"/>
    <s v="SPAC 3616"/>
    <s v="No Receiver"/>
    <n v="10234"/>
    <n v="10234"/>
    <d v="2026-06-15T00:00:00"/>
    <s v="Sales Team"/>
    <s v="Under Sales Team validation"/>
    <s v="Yes"/>
    <s v="Manager"/>
    <s v="NR"/>
    <n v="100151"/>
    <s v="Mason Reynolds"/>
    <n v="100151"/>
    <s v="Mason Reynolds"/>
    <n v="11"/>
    <x v="0"/>
    <s v="Mason Reynolds"/>
    <s v="Description -  This Req has been handled by Sales Team and this is related to No Receiver"/>
  </r>
  <r>
    <s v="A100"/>
    <s v="AFRA100"/>
    <s v="A100-141"/>
    <d v="2025-12-23T00:00:00"/>
    <d v="2025-12-23T00:00:00"/>
    <s v="90+"/>
    <s v="Africa"/>
    <n v="178"/>
    <n v="4413964"/>
    <s v="PO3251497800"/>
    <s v="SO91162997800"/>
    <s v="51162969750"/>
    <d v="2025-11-14T00:00:00"/>
    <s v="1443616"/>
    <s v="SPAC 3616"/>
    <s v="Resolve with Buyer"/>
    <n v="5845.5"/>
    <n v="5845.5"/>
    <d v="2026-06-15T00:00:00"/>
    <s v="Sales Team"/>
    <s v="Under Sales Team validation"/>
    <s v="Yes"/>
    <s v="Manager"/>
    <s v="RB"/>
    <n v="100161"/>
    <s v="Connor Bishop"/>
    <n v="100161"/>
    <s v="Connor Bishop"/>
    <n v="11"/>
    <x v="0"/>
    <s v="Connor Bishop"/>
    <s v="Description -  This Req has been handled by Sales Team and this is related to Resolve with Buyer"/>
  </r>
  <r>
    <s v="A100"/>
    <s v="AFRA100"/>
    <s v="A100-141"/>
    <d v="2025-12-23T00:00:00"/>
    <d v="2025-12-23T00:00:00"/>
    <s v="90+"/>
    <s v="Africa"/>
    <n v="178"/>
    <n v="4413944"/>
    <s v="POAV06239029"/>
    <s v="SO90117939029"/>
    <s v="50117924979"/>
    <d v="2025-11-17T00:00:00"/>
    <s v="1443616"/>
    <s v="SPAC 3616"/>
    <s v="Resolve with Buyer"/>
    <n v="676.9"/>
    <n v="676.9"/>
    <d v="2026-06-15T00:00:00"/>
    <s v="Sales Team"/>
    <s v="Under Sales Team validation"/>
    <s v="Yes"/>
    <s v="Manager"/>
    <s v="RB"/>
    <n v="100191"/>
    <s v="Dominic Flores"/>
    <n v="100191"/>
    <s v="Dominic Flores"/>
    <n v="11"/>
    <x v="0"/>
    <s v="Dominic Flores"/>
    <s v="Description -  This Req has been handled by Sales Team and this is related to Resolve with Buyer"/>
  </r>
  <r>
    <s v="A100"/>
    <s v="AFRA100"/>
    <s v="A100-141"/>
    <d v="2025-12-23T00:00:00"/>
    <d v="2025-12-23T00:00:00"/>
    <s v="90+"/>
    <s v="Africa"/>
    <n v="178"/>
    <n v="4413924"/>
    <s v="POAV05280258"/>
    <s v="SO90117980258"/>
    <s v="50117924978"/>
    <d v="2025-11-19T00:00:00"/>
    <s v="1443616"/>
    <s v="SPAC 3616"/>
    <s v="Resolve with Buyer"/>
    <n v="549.72"/>
    <n v="549.72"/>
    <d v="2026-06-15T00:00:00"/>
    <s v="Sales Team"/>
    <s v="Under Sales Team validation"/>
    <s v="Yes"/>
    <s v="Manager"/>
    <s v="RB"/>
    <n v="100201"/>
    <s v="Aiden Harper"/>
    <n v="100201"/>
    <s v="Aiden Harper"/>
    <n v="11"/>
    <x v="0"/>
    <s v="Aiden Harper"/>
    <s v="Description -  This Req has been handled by Sales Team and this is related to Resolve with Buyer"/>
  </r>
  <r>
    <s v="A100"/>
    <s v="AFRA100"/>
    <s v="A100-141"/>
    <d v="2025-12-23T00:00:00"/>
    <d v="2025-12-23T00:00:00"/>
    <s v="90+"/>
    <s v="Africa"/>
    <n v="178"/>
    <n v="4412414"/>
    <s v="PO4500621487"/>
    <s v="SO91162121487"/>
    <s v="51162188217"/>
    <d v="2025-11-19T00:00:00"/>
    <s v="1443616"/>
    <s v="SPAC 3616"/>
    <s v="Resolve with Buyer"/>
    <n v="274.86"/>
    <n v="274.86"/>
    <d v="2026-06-15T00:00:00"/>
    <s v="Sales Team"/>
    <s v="Under Sales Team validation"/>
    <s v="Yes"/>
    <s v="Manager"/>
    <s v="RB"/>
    <n v="100231"/>
    <s v="Jackson Norris"/>
    <n v="100231"/>
    <s v="Jackson Norris"/>
    <n v="11"/>
    <x v="0"/>
    <s v="Jackson Norris"/>
    <s v="Description -  This Req has been handled by Sales Team and this is related to Resolve with Buyer"/>
  </r>
  <r>
    <s v="A100"/>
    <s v="AFRA100"/>
    <s v="A100-141"/>
    <d v="2025-12-23T00:00:00"/>
    <d v="2025-12-23T00:00:00"/>
    <s v="90+"/>
    <s v="Africa"/>
    <n v="178"/>
    <n v="4413373"/>
    <s v="PO4513362716"/>
    <s v="SO91161562716"/>
    <s v="51161569796"/>
    <d v="2025-11-22T00:00:00"/>
    <s v="1443616"/>
    <s v="SPAC 3616"/>
    <s v="Resolve with Buyer"/>
    <n v="168"/>
    <n v="168"/>
    <d v="2026-06-15T00:00:00"/>
    <s v="Sales Team"/>
    <s v="Under Sales Team validation"/>
    <s v="Yes"/>
    <s v="Manager"/>
    <s v="RB"/>
    <n v="100241"/>
    <s v="Leah Pearson"/>
    <n v="100241"/>
    <s v="Leah Pearson"/>
    <n v="11"/>
    <x v="0"/>
    <s v="Leah Pearson"/>
    <s v="Description -  This Req has been handled by Sales Team and this is related to Resolve with Buyer"/>
  </r>
  <r>
    <s v="A100"/>
    <s v="AFRA100"/>
    <s v="A100-141"/>
    <d v="2025-12-23T00:00:00"/>
    <d v="2025-12-23T00:00:00"/>
    <s v="90+"/>
    <s v="Africa"/>
    <n v="178"/>
    <n v="4413383"/>
    <s v="PO4513303945"/>
    <s v="SO91161503945"/>
    <s v="51161569815"/>
    <d v="2025-11-26T00:00:00"/>
    <s v="1443616"/>
    <s v="SPAC 3616"/>
    <s v="Resolve with Buyer"/>
    <n v="42"/>
    <n v="42"/>
    <d v="2026-06-15T00:00:00"/>
    <s v="Sales Team"/>
    <s v="Under Sales Team validation"/>
    <s v="Yes"/>
    <s v="Manager"/>
    <s v="RB"/>
    <n v="100271"/>
    <s v="Brooke Palmer"/>
    <n v="100271"/>
    <s v="Brooke Palmer"/>
    <n v="11"/>
    <x v="0"/>
    <s v="Brooke Palmer"/>
    <s v="Description -  This Req has been handled by Sales Team and this is related to Resolve with Buyer"/>
  </r>
  <r>
    <s v="A100"/>
    <s v="AFRA100"/>
    <s v="A100-141"/>
    <d v="2025-12-29T00:00:00"/>
    <d v="2025-12-29T00:00:00"/>
    <s v="90+"/>
    <s v="Africa"/>
    <n v="172"/>
    <n v="4414663"/>
    <s v="PO4517427632"/>
    <s v="SO95113427632"/>
    <s v="55113474632"/>
    <d v="2025-12-02T00:00:00"/>
    <s v="1443616"/>
    <s v="SPAC 3616"/>
    <s v="Resolve with Buyer"/>
    <n v="11691"/>
    <n v="11691"/>
    <d v="2026-06-15T00:00:00"/>
    <s v="Sales Team"/>
    <s v="Under Sales Team validation"/>
    <s v="Yes"/>
    <s v="Manager"/>
    <s v="RB"/>
    <n v="100281"/>
    <s v="Grace Whitaker"/>
    <n v="100281"/>
    <s v="Grace Whitaker"/>
    <n v="11"/>
    <x v="0"/>
    <s v="Grace Whitaker"/>
    <s v="Description -  This Req has been handled by Sales Team and this is related to Resolve with Buyer"/>
  </r>
  <r>
    <s v="A100"/>
    <s v="AFRA100"/>
    <s v="A100-141"/>
    <d v="2025-12-29T00:00:00"/>
    <d v="2025-12-29T00:00:00"/>
    <s v="90+"/>
    <s v="Africa"/>
    <n v="172"/>
    <n v="4415103"/>
    <s v="PO4517368861"/>
    <s v="SO95113468861"/>
    <s v="55113474611"/>
    <d v="2025-12-09T00:00:00"/>
    <s v="1443616"/>
    <s v="SPAC 3616"/>
    <s v="No Receiver"/>
    <n v="13867.07"/>
    <n v="13867.07"/>
    <d v="2026-06-15T00:00:00"/>
    <s v="Sales Team"/>
    <s v="Under Sales Team validation"/>
    <s v="Yes"/>
    <s v="Manager"/>
    <s v="NR"/>
    <n v="100111"/>
    <s v="Andrew Ross"/>
    <n v="100111"/>
    <s v="Andrew Ross"/>
    <n v="11"/>
    <x v="0"/>
    <s v="Andrew Ross"/>
    <s v="Description -  This Req has been handled by Sales Team and this is related to No Receiver"/>
  </r>
  <r>
    <s v="A100"/>
    <s v="AFRA100"/>
    <s v="A100-141"/>
    <d v="2025-12-29T00:00:00"/>
    <d v="2025-12-29T00:00:00"/>
    <s v="90+"/>
    <s v="Africa"/>
    <n v="172"/>
    <n v="4414653"/>
    <s v="PO4420610090"/>
    <s v="SO91159910090"/>
    <s v="51159937570"/>
    <d v="2025-12-12T00:00:00"/>
    <s v="1443616"/>
    <s v="SPAC 3616"/>
    <s v="Resolve with Buyer"/>
    <n v="13639.5"/>
    <n v="13639.5"/>
    <d v="2026-06-15T00:00:00"/>
    <s v="Sales Team"/>
    <s v="Under Sales Team validation"/>
    <s v="Yes"/>
    <s v="Manager"/>
    <s v="RB"/>
    <n v="100121"/>
    <s v="Olivia Jenkins"/>
    <n v="100121"/>
    <s v="Olivia Jenkins"/>
    <n v="11"/>
    <x v="0"/>
    <s v="Olivia Jenkins"/>
    <s v="Description -  This Req has been handled by Sales Team and this is related to Resolve with Buyer"/>
  </r>
  <r>
    <s v="A100"/>
    <s v="AFRA100"/>
    <s v="A100-141"/>
    <d v="2026-01-06T00:00:00"/>
    <d v="2026-01-06T00:00:00"/>
    <s v="90+"/>
    <s v="Africa"/>
    <n v="164"/>
    <n v="4414333"/>
    <s v="PO4421157464"/>
    <s v="SO91160957464"/>
    <s v="51160940744"/>
    <d v="2025-12-19T00:00:00"/>
    <s v="1443616"/>
    <s v="SPAC 3616"/>
    <s v="Resolve with Buyer"/>
    <n v="210"/>
    <n v="210"/>
    <d v="2026-06-15T00:00:00"/>
    <s v="Sales Team"/>
    <s v="Under Sales Team validation"/>
    <s v="Yes"/>
    <s v="Manager"/>
    <s v="RB"/>
    <n v="100151"/>
    <s v="Mason Reynolds"/>
    <n v="100151"/>
    <s v="Mason Reynolds"/>
    <n v="11"/>
    <x v="0"/>
    <s v="Mason Reynolds"/>
    <s v="Description -  This Req has been handled by Sales Team and this is related to Resolve with Buyer"/>
  </r>
  <r>
    <s v="A100"/>
    <s v="AFRA100"/>
    <s v="A100-141"/>
    <d v="2026-01-06T00:00:00"/>
    <d v="2026-01-06T00:00:00"/>
    <s v="90+"/>
    <s v="Africa"/>
    <n v="164"/>
    <n v="4414323"/>
    <s v="PO4421398693"/>
    <s v="SO91159998693"/>
    <s v="51159903153"/>
    <d v="2025-12-20T00:00:00"/>
    <s v="1443616"/>
    <s v="SPAC 3616"/>
    <s v="Resolve with Buyer"/>
    <n v="3152"/>
    <n v="3152"/>
    <d v="2026-06-15T00:00:00"/>
    <s v="Sales Team"/>
    <s v="Under Sales Team validation"/>
    <s v="Yes"/>
    <s v="Manager"/>
    <s v="RB"/>
    <n v="100161"/>
    <s v="Connor Bishop"/>
    <n v="100161"/>
    <s v="Connor Bishop"/>
    <n v="11"/>
    <x v="0"/>
    <s v="Connor Bishop"/>
    <s v="Description -  This Req has been handled by Sales Team and this is related to Resolve with Buyer"/>
  </r>
  <r>
    <s v="A100"/>
    <s v="AFRA100"/>
    <s v="A100-141"/>
    <d v="2026-01-06T00:00:00"/>
    <d v="2026-01-06T00:00:00"/>
    <s v="90+"/>
    <s v="Africa"/>
    <n v="164"/>
    <n v="4414923"/>
    <s v="PO8856439922"/>
    <s v="SO91162839922"/>
    <s v="51162808912"/>
    <d v="2025-12-23T00:00:00"/>
    <s v="1443616"/>
    <s v="SPAC 3616"/>
    <s v="Resolve with Buyer"/>
    <n v="824.58"/>
    <n v="824.58"/>
    <d v="2026-06-15T00:00:00"/>
    <s v="Sales Team"/>
    <s v="Under Sales Team validation"/>
    <s v="Yes"/>
    <s v="Manager"/>
    <s v="RB"/>
    <n v="100191"/>
    <s v="Dominic Flores"/>
    <n v="100191"/>
    <s v="Dominic Flores"/>
    <n v="11"/>
    <x v="0"/>
    <s v="Dominic Flores"/>
    <s v="Description -  This Req has been handled by Sales Team and this is related to Resolve with Buyer"/>
  </r>
  <r>
    <s v="A100"/>
    <s v="AFRA100"/>
    <s v="A100-141"/>
    <d v="2026-01-06T00:00:00"/>
    <d v="2026-01-06T00:00:00"/>
    <s v="90+"/>
    <s v="Africa"/>
    <n v="164"/>
    <n v="4414673"/>
    <s v="PO4421481151"/>
    <s v="SO91159981151"/>
    <s v="51159903191"/>
    <d v="2025-12-24T00:00:00"/>
    <s v="1443616"/>
    <s v="SPAC 3616"/>
    <s v="Resolve with Buyer"/>
    <n v="733.32"/>
    <n v="733.32"/>
    <d v="2026-06-15T00:00:00"/>
    <s v="Sales Team"/>
    <s v="Under Sales Team validation"/>
    <s v="Yes"/>
    <s v="Manager"/>
    <s v="RB"/>
    <n v="100201"/>
    <s v="Aiden Harper"/>
    <n v="100201"/>
    <s v="Aiden Harper"/>
    <n v="11"/>
    <x v="0"/>
    <s v="Aiden Harper"/>
    <s v="Description -  This Req has been handled by Sales Team and this is related to Resolve with Buyer"/>
  </r>
  <r>
    <s v="A100"/>
    <s v="AFRA100"/>
    <s v="A100-141"/>
    <d v="2026-01-07T00:00:00"/>
    <d v="2026-01-29T00:00:00"/>
    <s v="90+"/>
    <s v="Africa"/>
    <n v="163"/>
    <n v="4414623"/>
    <s v="PO4421587296"/>
    <s v="SO91160087296"/>
    <s v="51160027536"/>
    <d v="2025-10-07T00:00:00"/>
    <s v="1129814"/>
    <s v="COPE 9814"/>
    <s v="Lack of Response"/>
    <n v="439.71"/>
    <n v="439.71"/>
    <d v="2026-06-18T00:00:00"/>
    <s v="Sales Team"/>
    <s v="Under Sales Team validation"/>
    <s v="Yes"/>
    <s v="Manager"/>
    <s v="LR"/>
    <n v="100231"/>
    <s v="Jackson Norris"/>
    <n v="100231"/>
    <s v="Jackson Norris"/>
    <n v="8"/>
    <x v="0"/>
    <s v="Jackson Norris"/>
    <s v="Description -  This Req has been handled by Sales Team and this is related to Lack of Response"/>
  </r>
  <r>
    <s v="A100"/>
    <s v="AFRA100"/>
    <s v="A100-141"/>
    <d v="2026-01-22T00:00:00"/>
    <d v="2026-01-26T00:00:00"/>
    <s v="90+"/>
    <s v="Africa"/>
    <n v="148"/>
    <n v="4420743"/>
    <s v="PO4535737349"/>
    <s v="SO91159537349"/>
    <s v="51159596209"/>
    <d v="2026-01-20T00:00:00"/>
    <s v="1443616"/>
    <s v="SPAC 3616"/>
    <s v="Resolve with Buyer"/>
    <n v="265"/>
    <n v="265"/>
    <d v="2026-06-15T00:00:00"/>
    <s v="Sales Team"/>
    <s v="Under Sales Team validation"/>
    <s v="Yes"/>
    <s v="Manager"/>
    <s v="RB"/>
    <n v="100241"/>
    <s v="Leah Pearson"/>
    <n v="100241"/>
    <s v="Leah Pearson"/>
    <n v="11"/>
    <x v="0"/>
    <s v="Leah Pearson"/>
    <s v="Description -  This Req has been handled by Sales Team and this is related to Resolve with Buyer"/>
  </r>
  <r>
    <s v="A100"/>
    <s v="AFRA100"/>
    <s v="A100-141"/>
    <d v="2026-01-22T00:00:00"/>
    <d v="2026-01-26T00:00:00"/>
    <s v="90+"/>
    <s v="Africa"/>
    <n v="148"/>
    <n v="4417363"/>
    <s v="PO1150078578"/>
    <s v="SO91158978578"/>
    <s v="51158927978"/>
    <d v="2026-01-20T00:00:00"/>
    <s v="1443616"/>
    <s v="SPAC 3616"/>
    <s v="Resolve with Buyer"/>
    <n v="265"/>
    <n v="265"/>
    <d v="2026-06-15T00:00:00"/>
    <s v="Sales Team"/>
    <s v="Under Sales Team validation"/>
    <s v="Yes"/>
    <s v="Manager"/>
    <s v="RB"/>
    <n v="100271"/>
    <s v="Brooke Palmer"/>
    <n v="100271"/>
    <s v="Brooke Palmer"/>
    <n v="11"/>
    <x v="0"/>
    <s v="Brooke Palmer"/>
    <s v="Description -  This Req has been handled by Sales Team and this is related to Resolve with Buyer"/>
  </r>
  <r>
    <s v="A100"/>
    <s v="AFRA100"/>
    <s v="A100-141"/>
    <d v="2026-01-30T00:00:00"/>
    <d v="2026-01-30T00:00:00"/>
    <s v="90+"/>
    <s v="Africa"/>
    <n v="140"/>
    <n v="4429422"/>
    <s v="PO551518127"/>
    <s v="SO91164918127"/>
    <s v="51164994047"/>
    <d v="2025-10-10T00:00:00"/>
    <s v="1040246"/>
    <s v="FLEX 0246"/>
    <s v="Pricing Error"/>
    <n v="33578"/>
    <n v="33578"/>
    <d v="2026-06-22T00:00:00"/>
    <s v="Sales Team"/>
    <s v="Under Sales Team validation"/>
    <s v="No"/>
    <s v="N/A"/>
    <s v="PE"/>
    <n v="100281"/>
    <s v="Grace Whitaker"/>
    <n v="100281"/>
    <s v="Grace Whitaker"/>
    <n v="4"/>
    <x v="0"/>
    <s v="Grace Whitaker"/>
    <s v="Description -  This Req has been handled by Sales Team and this is related to Pricing Error"/>
  </r>
  <r>
    <s v="A100"/>
    <s v="AFRA100"/>
    <s v="A100-141"/>
    <d v="2026-01-31T00:00:00"/>
    <d v="2026-01-31T00:00:00"/>
    <s v="90+"/>
    <s v="Africa"/>
    <n v="139"/>
    <n v="4429452"/>
    <s v="PO4421541814"/>
    <s v="SO91160341814"/>
    <s v="51160352914"/>
    <d v="2026-01-30T00:00:00"/>
    <s v="1355937"/>
    <s v="GE A 5937"/>
    <s v="Unknown Deduction"/>
    <n v="142.93"/>
    <n v="142.93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6-01-31T00:00:00"/>
    <d v="2026-01-31T00:00:00"/>
    <s v="90+"/>
    <s v="Africa"/>
    <n v="139"/>
    <n v="4430122"/>
    <s v="PO4421483043"/>
    <s v="SO91160083043"/>
    <s v="51160030153"/>
    <d v="2026-01-30T00:00:00"/>
    <s v="1355937"/>
    <s v="GE A 5937"/>
    <s v="Unknown Deduction"/>
    <n v="142.93"/>
    <n v="142.93"/>
    <d v="2026-06-22T00:00:00"/>
    <s v="Credit Team"/>
    <s v="Under Credit Team validation"/>
    <s v="No"/>
    <s v="N/A"/>
    <s v="UN"/>
    <n v="100261"/>
    <s v="Taylor Jennings"/>
    <n v="100191"/>
    <s v="Dominic Flores"/>
    <n v="4"/>
    <x v="0"/>
    <s v="Dominic Flores"/>
    <s v="Description -  This Req has been handled by Credit Team and this is related to Unknown Deduction"/>
  </r>
  <r>
    <s v="A100"/>
    <s v="AFRA100"/>
    <s v="A100-141"/>
    <d v="2026-01-31T00:00:00"/>
    <d v="2026-01-31T00:00:00"/>
    <s v="90+"/>
    <s v="Africa"/>
    <n v="139"/>
    <n v="4430102"/>
    <s v="PO4421524272"/>
    <s v="SO91160324272"/>
    <s v="51160346502"/>
    <d v="2026-01-30T00:00:00"/>
    <s v="1355937"/>
    <s v="GE A 5937"/>
    <s v="Unknown Deduction"/>
    <n v="142.93"/>
    <n v="142.93"/>
    <d v="2026-06-22T00:00:00"/>
    <s v="Credit Team"/>
    <s v="Under Credit Team validation"/>
    <s v="No"/>
    <s v="N/A"/>
    <s v="UN"/>
    <n v="100101"/>
    <s v="James Mitchell"/>
    <n v="100111"/>
    <s v="Andrew Ross"/>
    <n v="4"/>
    <x v="0"/>
    <s v="Andrew Ross"/>
    <s v="Description -  This Req has been handled by Credit Team and this is related to Unknown Deduction"/>
  </r>
  <r>
    <s v="A100"/>
    <s v="AFRA100"/>
    <s v="A100-141"/>
    <d v="2026-02-05T00:00:00"/>
    <d v="2026-02-05T00:00:00"/>
    <s v="90+"/>
    <s v="Africa"/>
    <n v="134"/>
    <n v="4432801"/>
    <s v="PO4291085722"/>
    <s v="SO91162885722"/>
    <s v="51162890242"/>
    <d v="2025-10-31T00:00:00"/>
    <s v="1040246"/>
    <s v="FLEX 0246"/>
    <s v="No Receiver"/>
    <n v="7100.8"/>
    <n v="7100.8"/>
    <d v="2026-06-22T00:00:00"/>
    <s v="Sales Team"/>
    <s v="Under Sales Team validation"/>
    <s v="No"/>
    <s v="N/A"/>
    <s v="NR"/>
    <n v="100111"/>
    <s v="Andrew Ross"/>
    <n v="100111"/>
    <s v="Andrew Ross"/>
    <n v="4"/>
    <x v="0"/>
    <s v="Andrew Ross"/>
    <s v="Description -  This Req has been handled by Sales Team and this is related to No Receiver"/>
  </r>
  <r>
    <s v="A100"/>
    <s v="AFRA100"/>
    <s v="A100-141"/>
    <d v="2026-02-06T00:00:00"/>
    <d v="2026-02-06T00:00:00"/>
    <s v="90+"/>
    <s v="Africa"/>
    <n v="133"/>
    <n v="4432781"/>
    <s v="PO4420509409"/>
    <s v="SO91152409409"/>
    <s v="51152435099"/>
    <d v="2026-01-13T00:00:00"/>
    <s v="1443616"/>
    <s v="SPAC 3616"/>
    <s v="Resolve with Buyer"/>
    <n v="274.86"/>
    <n v="274.86"/>
    <d v="2026-06-15T00:00:00"/>
    <s v="Sales Team"/>
    <s v="Under Sales Team validation"/>
    <s v="Yes"/>
    <s v="Manager"/>
    <s v="RB"/>
    <n v="100121"/>
    <s v="Olivia Jenkins"/>
    <n v="100121"/>
    <s v="Olivia Jenkins"/>
    <n v="11"/>
    <x v="0"/>
    <s v="Olivia Jenkins"/>
    <s v="Description -  This Req has been handled by Sales Team and this is related to Resolve with Buyer"/>
  </r>
  <r>
    <s v="A100"/>
    <s v="AFRA100"/>
    <s v="A100-141"/>
    <d v="2026-02-18T00:00:00"/>
    <d v="2026-02-27T00:00:00"/>
    <s v="90+"/>
    <s v="Africa"/>
    <n v="121"/>
    <n v="4436561"/>
    <s v="PO1447488401"/>
    <s v="SO91139188401"/>
    <s v="51139144741"/>
    <d v="2026-02-17T00:00:00"/>
    <s v="1443616"/>
    <s v="SPAC 3616"/>
    <s v="Resolve with Buyer"/>
    <n v="265"/>
    <n v="265"/>
    <d v="2026-06-15T00:00:00"/>
    <s v="Sales Team"/>
    <s v="Under Sales Team validation"/>
    <s v="Yes"/>
    <s v="Manager"/>
    <s v="RB"/>
    <n v="100151"/>
    <s v="Mason Reynolds"/>
    <n v="100151"/>
    <s v="Mason Reynolds"/>
    <n v="11"/>
    <x v="0"/>
    <s v="Mason Reynolds"/>
    <s v="Description -  This Req has been handled by Sales Team and this is related to Resolve with Buyer"/>
  </r>
  <r>
    <s v="A100"/>
    <s v="AFRA100"/>
    <s v="A100-141"/>
    <d v="2026-02-18T00:00:00"/>
    <d v="2026-06-02T00:00:00"/>
    <s v="90+"/>
    <s v="Africa"/>
    <n v="121"/>
    <n v="4435551"/>
    <s v="PO4600053317"/>
    <s v="SO91164953317"/>
    <s v="51164901197"/>
    <d v="2025-12-30T00:00:00"/>
    <s v="1023247"/>
    <s v="HONE 3247"/>
    <s v="No Receiver"/>
    <n v="312"/>
    <n v="312"/>
    <d v="2026-06-15T00:00:00"/>
    <s v="Sales Team"/>
    <s v="Under Sales Team validation"/>
    <s v="Yes"/>
    <s v="Manager"/>
    <s v="NR"/>
    <n v="100161"/>
    <s v="Connor Bishop"/>
    <n v="100161"/>
    <s v="Connor Bishop"/>
    <n v="11"/>
    <x v="0"/>
    <s v="Connor Bishop"/>
    <s v="Description -  This Req has been handled by Sales Team and this is related to No Receiver"/>
  </r>
  <r>
    <s v="A100"/>
    <s v="AFRA100"/>
    <s v="A100-141"/>
    <d v="2026-02-20T00:00:00"/>
    <d v="2026-02-20T00:00:00"/>
    <s v="90+"/>
    <s v="Africa"/>
    <n v="119"/>
    <n v="4438491"/>
    <s v="PO4951212981"/>
    <s v="SO91162112981"/>
    <s v="51162165401"/>
    <d v="2026-01-27T00:00:00"/>
    <s v="1443616"/>
    <s v="SPAC 3616"/>
    <s v="Freight"/>
    <n v="16875.28"/>
    <n v="16875.28"/>
    <d v="2026-06-15T00:00:00"/>
    <s v="Materials Team"/>
    <s v="Under Materials Team validation"/>
    <s v="Yes"/>
    <s v="Manager"/>
    <s v="FR"/>
    <n v="100251"/>
    <s v="Paige Sullivan"/>
    <n v="100161"/>
    <s v="Connor Bishop"/>
    <n v="11"/>
    <x v="0"/>
    <s v="Connor Bishop"/>
    <s v="Description -  This Req has been handled by Materials Team and this is related to Freight"/>
  </r>
  <r>
    <s v="A100"/>
    <s v="AFRA100"/>
    <s v="A100-141"/>
    <d v="2026-02-20T00:00:00"/>
    <d v="2026-02-20T00:00:00"/>
    <s v="90+"/>
    <s v="Africa"/>
    <n v="119"/>
    <n v="4438501"/>
    <s v="PO4951254210"/>
    <s v="SO91162154210"/>
    <s v="51162158120"/>
    <d v="2026-01-30T00:00:00"/>
    <s v="1443616"/>
    <s v="SPAC 3616"/>
    <s v="No Receiver"/>
    <n v="21850.93"/>
    <n v="21850.93"/>
    <d v="2026-06-15T00:00:00"/>
    <s v="Sales Team"/>
    <s v="Under Sales Team validation"/>
    <s v="Yes"/>
    <s v="Manager"/>
    <s v="NR"/>
    <n v="100191"/>
    <s v="Dominic Flores"/>
    <n v="100191"/>
    <s v="Dominic Flores"/>
    <n v="11"/>
    <x v="0"/>
    <s v="Dominic Flores"/>
    <s v="Description -  This Req has been handled by Sales Team and this is related to No Receiver"/>
  </r>
  <r>
    <s v="A100"/>
    <s v="AFRA100"/>
    <s v="A100-141"/>
    <d v="2026-02-20T00:00:00"/>
    <d v="2026-02-20T00:00:00"/>
    <s v="90+"/>
    <s v="Africa"/>
    <n v="119"/>
    <n v="4438451"/>
    <s v="PO4421695439"/>
    <s v="SO91161295439"/>
    <s v="51161269619"/>
    <d v="2026-02-05T00:00:00"/>
    <s v="1443616"/>
    <s v="SPAC 3616"/>
    <s v="No Receiver"/>
    <n v="54557.5"/>
    <n v="54557.5"/>
    <d v="2026-06-15T00:00:00"/>
    <s v="Sales Team"/>
    <s v="Under Sales Team validation"/>
    <s v="Yes"/>
    <s v="Manager"/>
    <s v="NR"/>
    <n v="100201"/>
    <s v="Aiden Harper"/>
    <n v="100201"/>
    <s v="Aiden Harper"/>
    <n v="11"/>
    <x v="0"/>
    <s v="Aiden Harper"/>
    <s v="Description -  This Req has been handled by Sales Team and this is related to No Receiver"/>
  </r>
  <r>
    <s v="A100"/>
    <s v="AFRA100"/>
    <s v="A100-141"/>
    <d v="2026-02-20T00:00:00"/>
    <d v="2026-05-26T00:00:00"/>
    <s v="90+"/>
    <s v="Africa"/>
    <n v="119"/>
    <n v="4438121"/>
    <s v="PO05-VA36668"/>
    <s v="SO91163736668"/>
    <s v="51163792498"/>
    <d v="2026-02-03T00:00:00"/>
    <s v="1443616"/>
    <s v="SPAC 3616"/>
    <s v="Freight"/>
    <n v="341.46"/>
    <n v="24576.959999999999"/>
    <d v="2026-06-15T00:00:00"/>
    <s v="Materials Team"/>
    <s v="Under Materials Team validation"/>
    <s v="Yes"/>
    <s v="Manager"/>
    <s v="FR"/>
    <n v="100131"/>
    <s v="Emily Coleman"/>
    <n v="100111"/>
    <s v="Andrew Ross"/>
    <n v="11"/>
    <x v="0"/>
    <s v="Andrew Ross"/>
    <s v="Description -  This Req has been handled by Materials Team and this is related to Freight"/>
  </r>
  <r>
    <s v="A100"/>
    <s v="AFRA100"/>
    <s v="A100-141"/>
    <d v="2026-02-25T00:00:00"/>
    <d v="2026-02-25T00:00:00"/>
    <s v="90+"/>
    <s v="Africa"/>
    <n v="114"/>
    <n v="4436211"/>
    <s v="PO4434013874"/>
    <s v="SO91161013874"/>
    <s v="51161079424"/>
    <d v="2025-08-28T00:00:00"/>
    <s v="1040246"/>
    <s v="FLEX 0246"/>
    <s v="Wrong PO Number"/>
    <n v="3172.83"/>
    <n v="3172.83"/>
    <d v="2026-06-22T00:00:00"/>
    <s v="Sales Team"/>
    <s v="Under Sales Team validation"/>
    <s v="No"/>
    <s v="N/A"/>
    <s v="WP"/>
    <n v="100231"/>
    <s v="Jackson Norris"/>
    <n v="100231"/>
    <s v="Jackson Norris"/>
    <n v="4"/>
    <x v="0"/>
    <s v="Jackson Norris"/>
    <s v="Description -  This Req has been handled by Sales Team and this is related to Wrong PO Number"/>
  </r>
  <r>
    <s v="A100"/>
    <s v="AFRA100"/>
    <s v="A100-141"/>
    <d v="2026-02-25T00:00:00"/>
    <d v="2026-02-25T00:00:00"/>
    <s v="90+"/>
    <s v="Africa"/>
    <n v="114"/>
    <n v="4438401"/>
    <s v="PO4421655103"/>
    <s v="SO91161155103"/>
    <s v="51161109013"/>
    <d v="2025-10-29T00:00:00"/>
    <s v="1040246"/>
    <s v="FLEX 0246"/>
    <s v="Wrong PO Number"/>
    <n v="736.85"/>
    <n v="736.85"/>
    <d v="2026-06-22T00:00:00"/>
    <s v="Sales Team"/>
    <s v="Under Sales Team validation"/>
    <s v="No"/>
    <s v="N/A"/>
    <s v="WP"/>
    <n v="100241"/>
    <s v="Leah Pearson"/>
    <n v="100241"/>
    <s v="Leah Pearson"/>
    <n v="4"/>
    <x v="0"/>
    <s v="Leah Pearson"/>
    <s v="Description -  This Req has been handled by Sales Team and this is related to Wrong PO Number"/>
  </r>
  <r>
    <s v="A100"/>
    <s v="AFRA100"/>
    <s v="A100-141"/>
    <d v="2026-02-27T00:00:00"/>
    <d v="2026-02-27T00:00:00"/>
    <s v="90+"/>
    <s v="Africa"/>
    <n v="112"/>
    <n v="4438869"/>
    <s v="PO2000084935"/>
    <s v="SO91163784935"/>
    <s v="51163768145"/>
    <d v="2026-02-09T00:00:00"/>
    <s v="1443616"/>
    <s v="SPAC 3616"/>
    <s v="Resolve with Buyer"/>
    <n v="21053"/>
    <n v="21053"/>
    <d v="2026-06-15T00:00:00"/>
    <s v="Sales Team"/>
    <s v="Under Sales Team validation"/>
    <s v="Yes"/>
    <s v="Manager"/>
    <s v="RB"/>
    <n v="100271"/>
    <s v="Brooke Palmer"/>
    <n v="100271"/>
    <s v="Brooke Palmer"/>
    <n v="11"/>
    <x v="0"/>
    <s v="Brooke Palmer"/>
    <s v="Description -  This Req has been handled by Sales Team and this is related to Resolve with Buyer"/>
  </r>
  <r>
    <s v="A100"/>
    <s v="AFRA100"/>
    <s v="A100-141"/>
    <d v="2026-02-27T00:00:00"/>
    <d v="2026-06-08T00:00:00"/>
    <s v="90+"/>
    <s v="Africa"/>
    <n v="112"/>
    <n v="4438737"/>
    <s v="PO1000126164"/>
    <s v="SO91163426164"/>
    <s v="51163465874"/>
    <d v="2026-02-11T00:00:00"/>
    <s v="1443616"/>
    <s v="SPAC 3616"/>
    <s v="Pricing Error"/>
    <n v="214620"/>
    <n v="2184840"/>
    <d v="2026-06-15T00:00:00"/>
    <s v="Sales Team"/>
    <s v="Under Sales Team validation"/>
    <s v="No"/>
    <s v="N/A"/>
    <s v="PE"/>
    <n v="100281"/>
    <s v="Grace Whitaker"/>
    <n v="100281"/>
    <s v="Grace Whitaker"/>
    <n v="11"/>
    <x v="0"/>
    <s v="Grace Whitaker"/>
    <s v="Description -  This Req has been handled by Sales Team and this is related to Pricing Error"/>
  </r>
  <r>
    <s v="A100"/>
    <s v="AFRA100"/>
    <s v="A100-141"/>
    <d v="2026-02-27T00:00:00"/>
    <d v="2026-04-02T00:00:00"/>
    <s v="90+"/>
    <s v="Africa"/>
    <n v="112"/>
    <n v="4440127"/>
    <s v="PO1840249851"/>
    <s v="SO91162749851"/>
    <s v="51162704321"/>
    <d v="2025-12-29T00:00:00"/>
    <s v="1394929"/>
    <s v="INGR 4929"/>
    <s v="Resolve with Buyer"/>
    <n v="276.91000000000003"/>
    <n v="276.91000000000003"/>
    <d v="2026-05-26T00:00:00"/>
    <s v="Sales Team"/>
    <s v="Under Sales Team validation"/>
    <s v="No"/>
    <s v="N/A"/>
    <s v="RB"/>
    <n v="100111"/>
    <s v="Andrew Ross"/>
    <n v="100111"/>
    <s v="Andrew Ross"/>
    <n v="31"/>
    <x v="0"/>
    <s v="Andrew Ross"/>
    <s v="Description -  This Req has been handled by Sales Team and this is related to Resolve with Buyer"/>
  </r>
  <r>
    <s v="A100"/>
    <s v="AFRA100"/>
    <s v="A100-141"/>
    <d v="2026-03-05T00:00:00"/>
    <d v="2026-03-18T00:00:00"/>
    <s v="90+"/>
    <s v="Africa"/>
    <n v="106"/>
    <n v="4442984"/>
    <s v="PO8181630629"/>
    <s v="SO91162330629"/>
    <s v="51162307479"/>
    <d v="2025-12-04T00:00:00"/>
    <s v="1200360"/>
    <s v="JABI 0360"/>
    <s v="Unknown Deduction"/>
    <n v="136"/>
    <n v="1007.95"/>
    <d v="2026-03-10T00:00:00"/>
    <s v="Credit Team"/>
    <s v="Under Credit Team validation"/>
    <s v="No"/>
    <s v="N/A"/>
    <s v="UN"/>
    <n v="100141"/>
    <s v="Liam Matthews"/>
    <n v="100121"/>
    <s v="Olivia Jenkins"/>
    <n v="108"/>
    <x v="0"/>
    <s v="Olivia Jenkins"/>
    <s v="Description -  This Req has been handled by Credit Team and this is related to Unknown Deduction"/>
  </r>
  <r>
    <s v="A100"/>
    <s v="AFRA100"/>
    <s v="A100-141"/>
    <d v="2026-03-09T00:00:00"/>
    <d v="2026-03-09T00:00:00"/>
    <s v="90+"/>
    <s v="Africa"/>
    <n v="102"/>
    <n v="4444333"/>
    <s v="PO4951237667"/>
    <s v="SO91162237667"/>
    <s v="51162262627"/>
    <d v="2026-02-13T00:00:00"/>
    <s v="1443616"/>
    <s v="SPAC 3616"/>
    <s v="Freight"/>
    <n v="27522.81"/>
    <n v="27522.81"/>
    <d v="2026-06-15T00:00:00"/>
    <s v="Materials Team"/>
    <s v="Under Materials Team validation"/>
    <s v="Yes"/>
    <s v="Manager"/>
    <s v="FR"/>
    <n v="100171"/>
    <s v="Sophia Turner"/>
    <n v="100121"/>
    <s v="Olivia Jenkins"/>
    <n v="11"/>
    <x v="0"/>
    <s v="Olivia Jenkins"/>
    <s v="Description -  This Req has been handled by Materials Team and this is related to Freight"/>
  </r>
  <r>
    <s v="A100"/>
    <s v="AFRA100"/>
    <s v="A100-141"/>
    <d v="2026-03-09T00:00:00"/>
    <d v="2026-03-09T00:00:00"/>
    <s v="90+"/>
    <s v="Africa"/>
    <n v="102"/>
    <n v="4444203"/>
    <s v="PO4951278896"/>
    <s v="SO91162278896"/>
    <s v="51162262646"/>
    <d v="2026-02-18T00:00:00"/>
    <s v="1443616"/>
    <s v="SPAC 3616"/>
    <s v="Resolve with Buyer"/>
    <n v="549.72"/>
    <n v="549.72"/>
    <d v="2026-06-15T00:00:00"/>
    <s v="Sales Team"/>
    <s v="Under Sales Team validation"/>
    <s v="Yes"/>
    <s v="Manager"/>
    <s v="RB"/>
    <n v="100121"/>
    <s v="Olivia Jenkins"/>
    <n v="100121"/>
    <s v="Olivia Jenkins"/>
    <n v="11"/>
    <x v="0"/>
    <s v="Olivia Jenkins"/>
    <s v="Description -  This Req has been handled by Sales Team and this is related to Resolve with Buyer"/>
  </r>
  <r>
    <s v="A100"/>
    <s v="AFRA100"/>
    <s v="A100-141"/>
    <d v="2026-03-09T00:00:00"/>
    <d v="2026-03-09T00:00:00"/>
    <s v="90+"/>
    <s v="Africa"/>
    <n v="102"/>
    <n v="4444313"/>
    <s v="PO4951220125"/>
    <s v="SO91162220125"/>
    <s v="51162262655"/>
    <d v="2026-02-20T00:00:00"/>
    <s v="1443616"/>
    <s v="SPAC 3616"/>
    <s v="Resolve with Buyer"/>
    <n v="21433.5"/>
    <n v="21433.5"/>
    <d v="2026-06-15T00:00:00"/>
    <s v="Sales Team"/>
    <s v="Under Sales Team validation"/>
    <s v="Yes"/>
    <s v="Manager"/>
    <s v="RB"/>
    <n v="100151"/>
    <s v="Mason Reynolds"/>
    <n v="100151"/>
    <s v="Mason Reynolds"/>
    <n v="11"/>
    <x v="0"/>
    <s v="Mason Reynolds"/>
    <s v="Description -  This Req has been handled by Sales Team and this is related to Resolve with Buyer"/>
  </r>
  <r>
    <s v="A100"/>
    <s v="AFRA100"/>
    <s v="A100-141"/>
    <d v="2026-03-09T00:00:00"/>
    <d v="2026-03-09T00:00:00"/>
    <s v="90+"/>
    <s v="Africa"/>
    <n v="102"/>
    <n v="4444323"/>
    <s v="PO4951261354"/>
    <s v="SO91162261354"/>
    <s v="51162262664"/>
    <d v="2026-02-20T00:00:00"/>
    <s v="1443616"/>
    <s v="SPAC 3616"/>
    <s v="No Receiver"/>
    <n v="4438.5200000000004"/>
    <n v="4438.5200000000004"/>
    <d v="2026-06-15T00:00:00"/>
    <s v="Sales Team"/>
    <s v="Under Sales Team validation"/>
    <s v="Yes"/>
    <s v="Manager"/>
    <s v="NR"/>
    <n v="100161"/>
    <s v="Connor Bishop"/>
    <n v="100161"/>
    <s v="Connor Bishop"/>
    <n v="11"/>
    <x v="0"/>
    <s v="Connor Bishop"/>
    <s v="Description -  This Req has been handled by Sales Team and this is related to No Receiver"/>
  </r>
  <r>
    <s v="A100"/>
    <s v="AFRA100"/>
    <s v="A100-141"/>
    <d v="2026-03-09T00:00:00"/>
    <d v="2026-05-26T00:00:00"/>
    <s v="90+"/>
    <s v="Africa"/>
    <n v="102"/>
    <n v="4445932"/>
    <s v="POPO21202583"/>
    <s v="SO95113502583"/>
    <s v="55113555103"/>
    <d v="2026-02-19T00:00:00"/>
    <s v="1443616"/>
    <s v="SPAC 3616"/>
    <s v="Freight"/>
    <n v="343.49"/>
    <n v="36405.089999999997"/>
    <d v="2026-06-15T00:00:00"/>
    <s v="Materials Team"/>
    <s v="Under Materials Team validation"/>
    <s v="Yes"/>
    <s v="Manager"/>
    <s v="FR"/>
    <n v="100211"/>
    <s v="Charles Benson"/>
    <n v="100151"/>
    <s v="Mason Reynolds"/>
    <n v="11"/>
    <x v="0"/>
    <s v="Mason Reynolds"/>
    <s v="Description -  This Req has been handled by Materials Team and this is related to Freight"/>
  </r>
  <r>
    <s v="A100"/>
    <s v="AFRA100"/>
    <s v="A100-141"/>
    <d v="2026-03-12T00:00:00"/>
    <d v="2026-06-02T00:00:00"/>
    <s v="90+"/>
    <s v="Africa"/>
    <n v="99"/>
    <n v="4558091"/>
    <s v="PO3006012859"/>
    <s v="SO91112112859"/>
    <s v="51112141849"/>
    <d v="2026-03-09T00:00:00"/>
    <s v="1475075"/>
    <s v="BCM  5075"/>
    <s v="Credit Memo Not Open"/>
    <n v="1173.06"/>
    <n v="1173.06"/>
    <d v="2026-06-15T00:00:00"/>
    <s v="Credit Team"/>
    <s v="Under Credit Team validation"/>
    <s v="No"/>
    <s v="N/A"/>
    <s v="NC"/>
    <n v="100181"/>
    <s v="Ella Bennett"/>
    <n v="100151"/>
    <s v="Mason Reynolds"/>
    <n v="11"/>
    <x v="0"/>
    <s v="Mason Reynolds"/>
    <s v="Description -  This Req has been handled by Credit Team and this is related to Credit Memo Not Open"/>
  </r>
  <r>
    <s v="A100"/>
    <s v="AFRA100"/>
    <s v="A100-141"/>
    <d v="2026-03-13T00:00:00"/>
    <d v="2026-06-02T00:00:00"/>
    <s v="90+"/>
    <s v="Africa"/>
    <n v="98"/>
    <n v="4560039"/>
    <s v="PO4000001462"/>
    <s v="SO90112801462"/>
    <s v="50112882932"/>
    <d v="2025-11-04T00:00:00"/>
    <s v="1023247"/>
    <s v="HONE 3247"/>
    <s v="Pricing Error"/>
    <n v="480"/>
    <n v="480"/>
    <d v="2026-06-15T00:00:00"/>
    <s v="Sales Team"/>
    <s v="Under Sales Team validation"/>
    <s v="Yes"/>
    <s v="Manager"/>
    <s v="PE"/>
    <n v="100191"/>
    <s v="Dominic Flores"/>
    <n v="100191"/>
    <s v="Dominic Flores"/>
    <n v="11"/>
    <x v="0"/>
    <s v="Dominic Flores"/>
    <s v="Description -  This Req has been handled by Sales Team and this is related to Pricing Error"/>
  </r>
  <r>
    <s v="A100"/>
    <s v="AFRA100"/>
    <s v="A100-141"/>
    <d v="2026-03-13T00:00:00"/>
    <d v="2026-05-26T00:00:00"/>
    <s v="90+"/>
    <s v="Africa"/>
    <n v="98"/>
    <n v="4560596"/>
    <s v="PO2448483920"/>
    <s v="SO90112883920"/>
    <s v="50112882930"/>
    <d v="2026-02-26T00:00:00"/>
    <s v="1443616"/>
    <s v="SPAC 3616"/>
    <s v="Freight"/>
    <n v="345.51"/>
    <n v="28205.01"/>
    <d v="2026-06-15T00:00:00"/>
    <s v="Materials Team"/>
    <s v="Under Materials Team validation"/>
    <s v="Yes"/>
    <s v="Manager"/>
    <s v="FR"/>
    <n v="100251"/>
    <s v="Paige Sullivan"/>
    <n v="100161"/>
    <s v="Connor Bishop"/>
    <n v="11"/>
    <x v="0"/>
    <s v="Connor Bishop"/>
    <s v="Description -  This Req has been handled by Materials Team and this is related to Freight"/>
  </r>
  <r>
    <s v="A100"/>
    <s v="AFRA100"/>
    <s v="A100-141"/>
    <d v="2026-03-17T00:00:00"/>
    <d v="2026-03-17T00:00:00"/>
    <s v="90+"/>
    <s v="Africa"/>
    <n v="94"/>
    <n v="4562266"/>
    <s v="PO4000006714"/>
    <s v="SO90111806714"/>
    <s v="50111827684"/>
    <d v="2026-03-16T00:00:00"/>
    <s v="1443616"/>
    <s v="SPAC 3616"/>
    <s v="Unknown Deduction"/>
    <n v="23.88"/>
    <n v="23.88"/>
    <d v="2026-06-15T00:00:00"/>
    <s v="Credit Team"/>
    <s v="Under Credit Team validation"/>
    <s v="No"/>
    <s v="N/A"/>
    <s v="UN"/>
    <n v="100221"/>
    <s v="Eli Hudson"/>
    <n v="100161"/>
    <s v="Connor Bishop"/>
    <n v="11"/>
    <x v="0"/>
    <s v="Connor Bishop"/>
    <s v="Description -  This Req has been handled by Credit Team and this is related to Unknown Deduction"/>
  </r>
  <r>
    <s v="A100"/>
    <s v="AFRA100"/>
    <s v="A100-141"/>
    <d v="2026-03-20T00:00:00"/>
    <d v="2026-03-20T00:00:00"/>
    <s v="90+"/>
    <s v="Africa"/>
    <n v="91"/>
    <n v="4588703"/>
    <s v="POC220923469"/>
    <s v="SO91132023469"/>
    <s v="51132028899"/>
    <d v="2026-03-18T00:00:00"/>
    <s v="1355937"/>
    <s v="GE A 5937"/>
    <s v="Unknown Deduction"/>
    <n v="1871.05"/>
    <n v="1871.05"/>
    <d v="2026-06-22T00:00:00"/>
    <s v="Credit Team"/>
    <s v="Under Credit Team validation"/>
    <s v="No"/>
    <s v="N/A"/>
    <s v="UN"/>
    <n v="100261"/>
    <s v="Taylor Jennings"/>
    <n v="100191"/>
    <s v="Dominic Flores"/>
    <n v="4"/>
    <x v="0"/>
    <s v="Dominic Flores"/>
    <s v="Description -  This Req has been handled by Credit Team and this is related to Unknown Deduction"/>
  </r>
  <r>
    <s v="A100"/>
    <s v="AFRA100"/>
    <s v="A100-141"/>
    <d v="2026-04-01T00:00:00"/>
    <d v="2026-04-01T00:00:00"/>
    <s v="60+"/>
    <s v="Africa"/>
    <n v="79"/>
    <n v="4618479"/>
    <s v="PO4000034972"/>
    <s v="SO91142334972"/>
    <s v="51142368022"/>
    <d v="2026-03-02T00:00:00"/>
    <s v="1443616"/>
    <s v="SPAC 3616"/>
    <s v="No Receiver"/>
    <n v="307659.39"/>
    <n v="307659.39"/>
    <d v="2026-06-15T00:00:00"/>
    <s v="Sales Team"/>
    <s v="Under Sales Team validation"/>
    <s v="Yes"/>
    <s v="Manager"/>
    <s v="NR"/>
    <n v="100201"/>
    <s v="Aiden Harper"/>
    <n v="100201"/>
    <s v="Aiden Harper"/>
    <n v="11"/>
    <x v="0"/>
    <s v="Aiden Harper"/>
    <s v="Description -  This Req has been handled by Sales Team and this is related to No Receiver"/>
  </r>
  <r>
    <s v="A100"/>
    <s v="AFRA100"/>
    <s v="A100-141"/>
    <d v="2026-04-01T00:00:00"/>
    <d v="2026-04-01T00:00:00"/>
    <s v="60+"/>
    <s v="Africa"/>
    <n v="79"/>
    <n v="4618757"/>
    <s v="PO4000076201"/>
    <s v="SO91142776201"/>
    <s v="51142703931"/>
    <d v="2026-03-03T00:00:00"/>
    <s v="1443616"/>
    <s v="SPAC 3616"/>
    <s v="No Receiver"/>
    <n v="42840"/>
    <n v="42840"/>
    <d v="2026-06-15T00:00:00"/>
    <s v="Sales Team"/>
    <s v="Under Sales Team validation"/>
    <s v="Yes"/>
    <s v="Manager"/>
    <s v="NR"/>
    <n v="100231"/>
    <s v="Jackson Norris"/>
    <n v="100231"/>
    <s v="Jackson Norris"/>
    <n v="11"/>
    <x v="0"/>
    <s v="Jackson Norris"/>
    <s v="Description -  This Req has been handled by Sales Team and this is related to No Receiver"/>
  </r>
  <r>
    <s v="A100"/>
    <s v="AFRA100"/>
    <s v="A100-141"/>
    <d v="2026-04-01T00:00:00"/>
    <d v="2026-04-01T00:00:00"/>
    <s v="60+"/>
    <s v="Africa"/>
    <n v="79"/>
    <n v="4619036"/>
    <s v="PO4419217430"/>
    <s v="SO91139217430"/>
    <s v="51139269100"/>
    <d v="2026-03-03T00:00:00"/>
    <s v="1443616"/>
    <s v="SPAC 3616"/>
    <s v="No Receiver"/>
    <n v="14280"/>
    <n v="14280"/>
    <d v="2026-06-15T00:00:00"/>
    <s v="Sales Team"/>
    <s v="Under Sales Team validation"/>
    <s v="Yes"/>
    <s v="Manager"/>
    <s v="NR"/>
    <n v="100241"/>
    <s v="Leah Pearson"/>
    <n v="100241"/>
    <s v="Leah Pearson"/>
    <n v="11"/>
    <x v="0"/>
    <s v="Leah Pearson"/>
    <s v="Description -  This Req has been handled by Sales Team and this is related to No Receiver"/>
  </r>
  <r>
    <s v="A100"/>
    <s v="AFRA100"/>
    <s v="A100-141"/>
    <d v="2026-04-01T00:00:00"/>
    <d v="2026-04-01T00:00:00"/>
    <s v="60+"/>
    <s v="Africa"/>
    <n v="79"/>
    <n v="4619314"/>
    <s v="PO4716358659"/>
    <s v="SO90115458659"/>
    <s v="50115471639"/>
    <d v="2026-03-03T00:00:00"/>
    <s v="1443616"/>
    <s v="SPAC 3616"/>
    <s v="No Receiver"/>
    <n v="39270"/>
    <n v="39270"/>
    <d v="2026-06-15T00:00:00"/>
    <s v="Sales Team"/>
    <s v="Under Sales Team validation"/>
    <s v="Yes"/>
    <s v="Manager"/>
    <s v="NR"/>
    <n v="100271"/>
    <s v="Brooke Palmer"/>
    <n v="100271"/>
    <s v="Brooke Palmer"/>
    <n v="11"/>
    <x v="0"/>
    <s v="Brooke Palmer"/>
    <s v="Description -  This Req has been handled by Sales Team and this is related to No Receiver"/>
  </r>
  <r>
    <s v="A100"/>
    <s v="AFRA100"/>
    <s v="A100-141"/>
    <d v="2026-04-06T00:00:00"/>
    <d v="2026-06-18T00:00:00"/>
    <s v="60+"/>
    <s v="Africa"/>
    <n v="74"/>
    <n v="4624601"/>
    <s v="PO4419142010"/>
    <s v="SO91138842010"/>
    <s v="51138899690"/>
    <d v="2025-12-18T00:00:00"/>
    <s v="1599743"/>
    <s v="AMI  9743"/>
    <s v="Fuel Surcharge"/>
    <n v="17889.060000000001"/>
    <n v="17889.060000000001"/>
    <d v="2026-06-18T00:00:00"/>
    <s v="Materials Team"/>
    <s v="Under Materials Team validation"/>
    <s v="No"/>
    <s v="N/A"/>
    <s v="FSC"/>
    <n v="100131"/>
    <s v="Emily Coleman"/>
    <n v="100111"/>
    <s v="Andrew Ross"/>
    <n v="8"/>
    <x v="0"/>
    <s v="Andrew Ross"/>
    <s v=""/>
  </r>
  <r>
    <s v="A100"/>
    <s v="AFRA100"/>
    <s v="A100-141"/>
    <d v="2026-04-06T00:00:00"/>
    <d v="2026-06-18T00:00:00"/>
    <s v="60+"/>
    <s v="Africa"/>
    <n v="74"/>
    <n v="4624880"/>
    <s v="PO4417483239"/>
    <s v="SO91139383239"/>
    <s v="51139319869"/>
    <d v="2025-12-31T00:00:00"/>
    <s v="1599743"/>
    <s v="AMI  9743"/>
    <s v="Fuel Surcharge"/>
    <n v="915.09"/>
    <n v="915.09"/>
    <d v="2026-06-18T00:00:00"/>
    <s v="Materials Team"/>
    <s v="Under Materials Team validation"/>
    <s v="No"/>
    <s v="N/A"/>
    <s v="FSC"/>
    <n v="100171"/>
    <s v="Sophia Turner"/>
    <n v="100121"/>
    <s v="Olivia Jenkins"/>
    <n v="8"/>
    <x v="0"/>
    <s v="Olivia Jenkins"/>
    <s v=""/>
  </r>
  <r>
    <s v="A100"/>
    <s v="AFRA100"/>
    <s v="A100-141"/>
    <d v="2026-04-11T00:00:00"/>
    <d v="2026-04-16T00:00:00"/>
    <s v="60+"/>
    <s v="Africa"/>
    <n v="69"/>
    <n v="4639629"/>
    <s v="PO4417768376"/>
    <s v="SO91141068376"/>
    <s v="51141065656"/>
    <d v="2026-03-09T00:00:00"/>
    <s v="1355937"/>
    <s v="GE A 5937"/>
    <s v="Unknown Deduction"/>
    <n v="25.05"/>
    <n v="2260.0500000000002"/>
    <d v="2026-06-22T00:00:00"/>
    <s v="Credit Team"/>
    <s v="Under Credit Team validation"/>
    <s v="No"/>
    <s v="N/A"/>
    <s v="UN"/>
    <n v="100101"/>
    <s v="James Mitchell"/>
    <n v="100111"/>
    <s v="Andrew Ross"/>
    <n v="4"/>
    <x v="0"/>
    <s v="Andrew Ross"/>
    <s v="Description -  This Req has been handled by Credit Team and this is related to Unknown Deduction"/>
  </r>
  <r>
    <s v="A100"/>
    <s v="AFRA100"/>
    <s v="A100-141"/>
    <d v="2026-04-13T00:00:00"/>
    <d v="2026-04-13T00:00:00"/>
    <s v="60+"/>
    <s v="Africa"/>
    <n v="67"/>
    <n v="4640463"/>
    <s v="PO4417792063"/>
    <s v="SO91139892063"/>
    <s v="51139880723"/>
    <d v="2026-03-03T00:00:00"/>
    <s v="1443616"/>
    <s v="SPAC 3616"/>
    <s v="No Receiver"/>
    <n v="3570"/>
    <n v="3570"/>
    <d v="2026-06-15T00:00:00"/>
    <s v="Sales Team"/>
    <s v="Under Sales Team validation"/>
    <s v="Yes"/>
    <s v="Manager"/>
    <s v="NR"/>
    <n v="100281"/>
    <s v="Grace Whitaker"/>
    <n v="100281"/>
    <s v="Grace Whitaker"/>
    <n v="11"/>
    <x v="0"/>
    <s v="Grace Whitaker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0742"/>
    <s v="PO4417033292"/>
    <s v="SO91140433292"/>
    <s v="51140498972"/>
    <d v="2026-03-03T00:00:00"/>
    <s v="1443616"/>
    <s v="SPAC 3616"/>
    <s v="No Receiver"/>
    <n v="3570"/>
    <n v="3570"/>
    <d v="2026-06-15T00:00:00"/>
    <s v="Sales Team"/>
    <s v="Under Sales Team validation"/>
    <s v="Yes"/>
    <s v="Manager"/>
    <s v="NR"/>
    <n v="100111"/>
    <s v="Andrew Ross"/>
    <n v="100111"/>
    <s v="Andrew Ross"/>
    <n v="11"/>
    <x v="0"/>
    <s v="Andrew Ross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1020"/>
    <s v="PO4418174521"/>
    <s v="SO91140774521"/>
    <s v="51140756341"/>
    <d v="2026-03-03T00:00:00"/>
    <s v="1443616"/>
    <s v="SPAC 3616"/>
    <s v="No Receiver"/>
    <n v="21420"/>
    <n v="21420"/>
    <d v="2026-06-15T00:00:00"/>
    <s v="Sales Team"/>
    <s v="Under Sales Team validation"/>
    <s v="Yes"/>
    <s v="Manager"/>
    <s v="NR"/>
    <n v="100121"/>
    <s v="Olivia Jenkins"/>
    <n v="100121"/>
    <s v="Olivia Jenkins"/>
    <n v="11"/>
    <x v="0"/>
    <s v="Olivia Jenkins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1298"/>
    <s v="PO4417815750"/>
    <s v="SO91140615750"/>
    <s v="51140650860"/>
    <d v="2026-03-03T00:00:00"/>
    <s v="1443616"/>
    <s v="SPAC 3616"/>
    <s v="Resolve with Buyer"/>
    <n v="21420"/>
    <n v="21420"/>
    <d v="2026-06-15T00:00:00"/>
    <s v="Sales Team"/>
    <s v="Under Sales Team validation"/>
    <s v="Yes"/>
    <s v="Manager"/>
    <s v="RB"/>
    <n v="100151"/>
    <s v="Mason Reynolds"/>
    <n v="100151"/>
    <s v="Mason Reynolds"/>
    <n v="11"/>
    <x v="0"/>
    <s v="Mason Reynolds"/>
    <s v="Description -  This Req has been handled by Sales Team and this is related to Resolve with Buyer"/>
  </r>
  <r>
    <s v="A100"/>
    <s v="AFRA100"/>
    <s v="A100-141"/>
    <d v="2026-04-13T00:00:00"/>
    <d v="2026-04-13T00:00:00"/>
    <s v="60+"/>
    <s v="Africa"/>
    <n v="67"/>
    <n v="4641577"/>
    <s v="PO4418956979"/>
    <s v="SO91141156979"/>
    <s v="51141170629"/>
    <d v="2026-03-03T00:00:00"/>
    <s v="1443616"/>
    <s v="SPAC 3616"/>
    <s v="No Receiver"/>
    <n v="3570"/>
    <n v="3570"/>
    <d v="2026-06-15T00:00:00"/>
    <s v="Sales Team"/>
    <s v="Under Sales Team validation"/>
    <s v="Yes"/>
    <s v="Manager"/>
    <s v="NR"/>
    <n v="100161"/>
    <s v="Connor Bishop"/>
    <n v="100161"/>
    <s v="Connor Bishop"/>
    <n v="11"/>
    <x v="0"/>
    <s v="Connor Bishop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1855"/>
    <s v="PO4417198208"/>
    <s v="SO91141398208"/>
    <s v="51141333538"/>
    <d v="2026-03-03T00:00:00"/>
    <s v="1443616"/>
    <s v="SPAC 3616"/>
    <s v="No Receiver"/>
    <n v="35700"/>
    <n v="35700"/>
    <d v="2026-06-15T00:00:00"/>
    <s v="Sales Team"/>
    <s v="Under Sales Team validation"/>
    <s v="Yes"/>
    <s v="Manager"/>
    <s v="NR"/>
    <n v="100191"/>
    <s v="Dominic Flores"/>
    <n v="100191"/>
    <s v="Dominic Flores"/>
    <n v="11"/>
    <x v="0"/>
    <s v="Dominic Flores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2133"/>
    <s v="PO4418939437"/>
    <s v="SO91140639437"/>
    <s v="51140699107"/>
    <d v="2026-03-03T00:00:00"/>
    <s v="1443616"/>
    <s v="SPAC 3616"/>
    <s v="No Receiver"/>
    <n v="17850"/>
    <n v="17850"/>
    <d v="2026-06-15T00:00:00"/>
    <s v="Sales Team"/>
    <s v="Under Sales Team validation"/>
    <s v="Yes"/>
    <s v="Manager"/>
    <s v="NR"/>
    <n v="100201"/>
    <s v="Aiden Harper"/>
    <n v="100201"/>
    <s v="Aiden Harper"/>
    <n v="11"/>
    <x v="0"/>
    <s v="Aiden Harper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2411"/>
    <s v="PO4417080666"/>
    <s v="SO91140480666"/>
    <s v="51140422056"/>
    <d v="2026-03-03T00:00:00"/>
    <s v="1443616"/>
    <s v="SPAC 3616"/>
    <s v="Resolve with Buyer"/>
    <n v="28560"/>
    <n v="28560"/>
    <d v="2026-06-15T00:00:00"/>
    <s v="Sales Team"/>
    <s v="Under Sales Team validation"/>
    <s v="Yes"/>
    <s v="Manager"/>
    <s v="RB"/>
    <n v="100231"/>
    <s v="Jackson Norris"/>
    <n v="100231"/>
    <s v="Jackson Norris"/>
    <n v="11"/>
    <x v="0"/>
    <s v="Jackson Norris"/>
    <s v="Description -  This Req has been handled by Sales Team and this is related to Resolve with Buyer"/>
  </r>
  <r>
    <s v="A100"/>
    <s v="AFRA100"/>
    <s v="A100-141"/>
    <d v="2026-04-13T00:00:00"/>
    <d v="2026-04-13T00:00:00"/>
    <s v="60+"/>
    <s v="Africa"/>
    <n v="67"/>
    <n v="4642690"/>
    <s v="PO4417621895"/>
    <s v="SO91141121895"/>
    <s v="51141124605"/>
    <d v="2026-03-03T00:00:00"/>
    <s v="1443616"/>
    <s v="SPAC 3616"/>
    <s v="No Receiver"/>
    <n v="17850"/>
    <n v="17850"/>
    <d v="2026-06-15T00:00:00"/>
    <s v="Sales Team"/>
    <s v="Under Sales Team validation"/>
    <s v="Yes"/>
    <s v="Manager"/>
    <s v="NR"/>
    <n v="100241"/>
    <s v="Leah Pearson"/>
    <n v="100241"/>
    <s v="Leah Pearson"/>
    <n v="11"/>
    <x v="0"/>
    <s v="Leah Pearson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2968"/>
    <s v="PO4417063124"/>
    <s v="SO91141263124"/>
    <s v="51141221514"/>
    <d v="2026-03-03T00:00:00"/>
    <s v="1443616"/>
    <s v="SPAC 3616"/>
    <s v="No Receiver"/>
    <n v="7140"/>
    <n v="7140"/>
    <d v="2026-06-15T00:00:00"/>
    <s v="Sales Team"/>
    <s v="Under Sales Team validation"/>
    <s v="Yes"/>
    <s v="Manager"/>
    <s v="NR"/>
    <n v="100271"/>
    <s v="Brooke Palmer"/>
    <n v="100271"/>
    <s v="Brooke Palmer"/>
    <n v="11"/>
    <x v="0"/>
    <s v="Brooke Palmer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3246"/>
    <s v="PO4417704353"/>
    <s v="SO91139804353"/>
    <s v="51139880693"/>
    <d v="2026-03-03T00:00:00"/>
    <s v="1443616"/>
    <s v="SPAC 3616"/>
    <s v="No Receiver"/>
    <n v="17850"/>
    <n v="17850"/>
    <d v="2026-06-15T00:00:00"/>
    <s v="Sales Team"/>
    <s v="Under Sales Team validation"/>
    <s v="Yes"/>
    <s v="Manager"/>
    <s v="NR"/>
    <n v="100281"/>
    <s v="Grace Whitaker"/>
    <n v="100281"/>
    <s v="Grace Whitaker"/>
    <n v="11"/>
    <x v="0"/>
    <s v="Grace Whitaker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3525"/>
    <s v="PO4418645582"/>
    <s v="SO91141145582"/>
    <s v="51141124582"/>
    <d v="2026-03-03T00:00:00"/>
    <s v="1443616"/>
    <s v="SPAC 3616"/>
    <s v="No Receiver"/>
    <n v="10710"/>
    <n v="10710"/>
    <d v="2026-06-15T00:00:00"/>
    <s v="Sales Team"/>
    <s v="Under Sales Team validation"/>
    <s v="Yes"/>
    <s v="Manager"/>
    <s v="NR"/>
    <n v="100111"/>
    <s v="Andrew Ross"/>
    <n v="100111"/>
    <s v="Andrew Ross"/>
    <n v="11"/>
    <x v="0"/>
    <s v="Andrew Ross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3803"/>
    <s v="PO4417886811"/>
    <s v="SO91140286811"/>
    <s v="51140217471"/>
    <d v="2026-03-03T00:00:00"/>
    <s v="1443616"/>
    <s v="SPAC 3616"/>
    <s v="No Receiver"/>
    <n v="3570"/>
    <n v="3570"/>
    <d v="2026-06-15T00:00:00"/>
    <s v="Sales Team"/>
    <s v="Under Sales Team validation"/>
    <s v="Yes"/>
    <s v="Manager"/>
    <s v="NR"/>
    <n v="100121"/>
    <s v="Olivia Jenkins"/>
    <n v="100121"/>
    <s v="Olivia Jenkins"/>
    <n v="11"/>
    <x v="0"/>
    <s v="Olivia Jenkins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4081"/>
    <s v="PO4417128040"/>
    <s v="SO91141228040"/>
    <s v="51141221580"/>
    <d v="2026-03-03T00:00:00"/>
    <s v="1443616"/>
    <s v="SPAC 3616"/>
    <s v="No Receiver"/>
    <n v="14280"/>
    <n v="14280"/>
    <d v="2026-06-15T00:00:00"/>
    <s v="Sales Team"/>
    <s v="Under Sales Team validation"/>
    <s v="Yes"/>
    <s v="Manager"/>
    <s v="NR"/>
    <n v="100151"/>
    <s v="Mason Reynolds"/>
    <n v="100151"/>
    <s v="Mason Reynolds"/>
    <n v="11"/>
    <x v="0"/>
    <s v="Mason Reynolds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4359"/>
    <s v="PO4417869269"/>
    <s v="SO91141169269"/>
    <s v="51141103759"/>
    <d v="2026-03-03T00:00:00"/>
    <s v="1443616"/>
    <s v="SPAC 3616"/>
    <s v="No Receiver"/>
    <n v="14280"/>
    <n v="14280"/>
    <d v="2026-06-15T00:00:00"/>
    <s v="Sales Team"/>
    <s v="Under Sales Team validation"/>
    <s v="Yes"/>
    <s v="Manager"/>
    <s v="NR"/>
    <n v="100161"/>
    <s v="Connor Bishop"/>
    <n v="100161"/>
    <s v="Connor Bishop"/>
    <n v="11"/>
    <x v="0"/>
    <s v="Connor Bishop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4638"/>
    <s v="PO6714210498"/>
    <s v="SO90115610498"/>
    <s v="50115671428"/>
    <d v="2026-03-04T00:00:00"/>
    <s v="1443616"/>
    <s v="SPAC 3616"/>
    <s v="No Receiver"/>
    <n v="35700"/>
    <n v="35700"/>
    <d v="2026-06-15T00:00:00"/>
    <s v="Sales Team"/>
    <s v="Under Sales Team validation"/>
    <s v="Yes"/>
    <s v="Manager"/>
    <s v="NR"/>
    <n v="100191"/>
    <s v="Dominic Flores"/>
    <n v="100191"/>
    <s v="Dominic Flores"/>
    <n v="11"/>
    <x v="0"/>
    <s v="Dominic Flores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4916"/>
    <s v="PO4417051727"/>
    <s v="SO91140951727"/>
    <s v="51140933487"/>
    <d v="2026-03-04T00:00:00"/>
    <s v="1443616"/>
    <s v="SPAC 3616"/>
    <s v="No Receiver"/>
    <n v="3570"/>
    <n v="3570"/>
    <d v="2026-06-15T00:00:00"/>
    <s v="Sales Team"/>
    <s v="Under Sales Team validation"/>
    <s v="Yes"/>
    <s v="Manager"/>
    <s v="NR"/>
    <n v="100201"/>
    <s v="Aiden Harper"/>
    <n v="100201"/>
    <s v="Aiden Harper"/>
    <n v="11"/>
    <x v="0"/>
    <s v="Aiden Harper"/>
    <s v="Description -  This Req has been handled by Sales Team and this is related to No Receiver"/>
  </r>
  <r>
    <s v="A100"/>
    <s v="AFRA100"/>
    <s v="A100-141"/>
    <d v="2026-04-13T00:00:00"/>
    <d v="2026-04-13T00:00:00"/>
    <s v="60+"/>
    <s v="Africa"/>
    <n v="67"/>
    <n v="4645194"/>
    <s v="PO3006092957"/>
    <s v="SO91145192956"/>
    <s v="51145127686"/>
    <d v="2026-03-04T00:00:00"/>
    <s v="1443616"/>
    <s v="SPAC 3616"/>
    <s v="No Receiver"/>
    <n v="21420"/>
    <n v="21420"/>
    <d v="2026-06-15T00:00:00"/>
    <s v="Sales Team"/>
    <s v="Under Sales Team validation"/>
    <s v="Yes"/>
    <s v="Manager"/>
    <s v="NR"/>
    <n v="100231"/>
    <s v="Jackson Norris"/>
    <n v="100231"/>
    <s v="Jackson Norris"/>
    <n v="11"/>
    <x v="0"/>
    <s v="Jackson Norris"/>
    <s v="Description -  This Req has been handled by Sales Team and this is related to No Receiver"/>
  </r>
  <r>
    <s v="A100"/>
    <s v="AFRA100"/>
    <s v="A100-141"/>
    <d v="2026-04-13T00:00:00"/>
    <d v="2026-06-16T00:00:00"/>
    <s v="60+"/>
    <s v="Africa"/>
    <n v="67"/>
    <n v="4645473"/>
    <s v="PO8036834185"/>
    <s v="SO90115834185"/>
    <s v="50115803685"/>
    <d v="2026-03-06T00:00:00"/>
    <s v="1675695"/>
    <s v="ENCO 5695"/>
    <s v="Overshipped PO"/>
    <n v="3407.98"/>
    <n v="3407.98"/>
    <d v="2026-06-22T00:00:00"/>
    <s v="Materials Team"/>
    <s v="Under Materials Team validation"/>
    <s v="No"/>
    <s v="N/A"/>
    <s v="OS"/>
    <n v="100211"/>
    <s v="Charles Benson"/>
    <n v="100151"/>
    <s v="Mason Reynolds"/>
    <n v="4"/>
    <x v="0"/>
    <s v="Mason Reynolds"/>
    <s v="Description -  This Req has been handled by Materials Team and this is related to Overshipped PO"/>
  </r>
  <r>
    <s v="A100"/>
    <s v="AFRA100"/>
    <s v="A100-141"/>
    <d v="2026-04-15T00:00:00"/>
    <d v="2026-04-15T00:00:00"/>
    <s v="60+"/>
    <s v="Africa"/>
    <n v="65"/>
    <n v="4651317"/>
    <s v="POON EX99994"/>
    <s v="SO91125199994"/>
    <s v="51125154754"/>
    <d v="2026-03-05T00:00:00"/>
    <s v="1443616"/>
    <s v="SPAC 3616"/>
    <s v="No Receiver"/>
    <n v="220050"/>
    <n v="220050"/>
    <d v="2026-06-15T00:00:00"/>
    <s v="Sales Team"/>
    <s v="Under Sales Team validation"/>
    <s v="Yes"/>
    <s v="Manager"/>
    <s v="NR"/>
    <n v="100241"/>
    <s v="Leah Pearson"/>
    <n v="100241"/>
    <s v="Leah Pearson"/>
    <n v="11"/>
    <x v="0"/>
    <s v="Leah Pearson"/>
    <s v="Description -  This Req has been handled by Sales Team and this is related to No Receiver"/>
  </r>
  <r>
    <s v="A100"/>
    <s v="AFRA100"/>
    <s v="A100-141"/>
    <d v="2026-04-15T00:00:00"/>
    <d v="2026-04-15T00:00:00"/>
    <s v="60+"/>
    <s v="Africa"/>
    <n v="65"/>
    <n v="4651595"/>
    <s v="POON EX41223"/>
    <s v="SO91125241223"/>
    <s v="51125249813"/>
    <d v="2026-03-06T00:00:00"/>
    <s v="1443616"/>
    <s v="SPAC 3616"/>
    <s v="No Receiver"/>
    <n v="14280"/>
    <n v="14280"/>
    <d v="2026-06-15T00:00:00"/>
    <s v="Sales Team"/>
    <s v="Under Sales Team validation"/>
    <s v="Yes"/>
    <s v="Manager"/>
    <s v="NR"/>
    <n v="100271"/>
    <s v="Brooke Palmer"/>
    <n v="100271"/>
    <s v="Brooke Palmer"/>
    <n v="11"/>
    <x v="0"/>
    <s v="Brooke Palmer"/>
    <s v="Description -  This Req has been handled by Sales Team and this is related to No Receiver"/>
  </r>
  <r>
    <s v="A100"/>
    <s v="AFRA100"/>
    <s v="A100-141"/>
    <d v="2026-04-15T00:00:00"/>
    <d v="2026-04-15T00:00:00"/>
    <s v="60+"/>
    <s v="Africa"/>
    <n v="65"/>
    <n v="4651873"/>
    <s v="POON EX82452"/>
    <s v="SO91125182452"/>
    <s v="51125154822"/>
    <d v="2026-03-06T00:00:00"/>
    <s v="1443616"/>
    <s v="SPAC 3616"/>
    <s v="No Receiver"/>
    <n v="28560"/>
    <n v="28560"/>
    <d v="2026-06-15T00:00:00"/>
    <s v="Sales Team"/>
    <s v="Under Sales Team validation"/>
    <s v="Yes"/>
    <s v="Manager"/>
    <s v="NR"/>
    <n v="100281"/>
    <s v="Grace Whitaker"/>
    <n v="100281"/>
    <s v="Grace Whitaker"/>
    <n v="11"/>
    <x v="0"/>
    <s v="Grace Whitaker"/>
    <s v="Description -  This Req has been handled by Sales Team and this is related to No Receiver"/>
  </r>
  <r>
    <s v="A100"/>
    <s v="AFRA100"/>
    <s v="A100-141"/>
    <d v="2026-04-15T00:00:00"/>
    <d v="2026-04-15T00:00:00"/>
    <s v="60+"/>
    <s v="Africa"/>
    <n v="65"/>
    <n v="4652151"/>
    <s v="PO7820023681"/>
    <s v="SO90115723681"/>
    <s v="50115782001"/>
    <d v="2026-03-10T00:00:00"/>
    <s v="1443616"/>
    <s v="SPAC 3616"/>
    <s v="No Receiver"/>
    <n v="17074.14"/>
    <n v="17074.14"/>
    <d v="2026-06-15T00:00:00"/>
    <s v="Sales Team"/>
    <s v="Under Sales Team validation"/>
    <s v="Yes"/>
    <s v="Manager"/>
    <s v="NR"/>
    <n v="100111"/>
    <s v="Andrew Ross"/>
    <n v="100111"/>
    <s v="Andrew Ross"/>
    <n v="11"/>
    <x v="0"/>
    <s v="Andrew Ross"/>
    <s v="Description -  This Req has been handled by Sales Team and this is related to No Receiver"/>
  </r>
  <r>
    <s v="A100"/>
    <s v="AFRA100"/>
    <s v="A100-141"/>
    <d v="2026-04-15T00:00:00"/>
    <d v="2026-04-15T00:00:00"/>
    <s v="60+"/>
    <s v="Africa"/>
    <n v="65"/>
    <n v="4652430"/>
    <s v="PO3008864911"/>
    <s v="SO91146064910"/>
    <s v="51146078140"/>
    <d v="2026-03-13T00:00:00"/>
    <s v="1443616"/>
    <s v="SPAC 3616"/>
    <s v="No Receiver"/>
    <n v="3570"/>
    <n v="3570"/>
    <d v="2026-06-15T00:00:00"/>
    <s v="Sales Team"/>
    <s v="Under Sales Team validation"/>
    <s v="Yes"/>
    <s v="Manager"/>
    <s v="NR"/>
    <n v="100121"/>
    <s v="Olivia Jenkins"/>
    <n v="100121"/>
    <s v="Olivia Jenkins"/>
    <n v="11"/>
    <x v="0"/>
    <s v="Olivia Jenkins"/>
    <s v="Description -  This Req has been handled by Sales Team and this is related to No Receiver"/>
  </r>
  <r>
    <s v="A100"/>
    <s v="AFRA100"/>
    <s v="A100-141"/>
    <d v="2026-04-15T00:00:00"/>
    <d v="2026-04-15T00:00:00"/>
    <s v="60+"/>
    <s v="Africa"/>
    <n v="65"/>
    <n v="4652708"/>
    <s v="PO4416206139"/>
    <s v="SO91141006139"/>
    <s v="51141037279"/>
    <d v="2026-03-25T00:00:00"/>
    <s v="1443616"/>
    <s v="SPAC 3616"/>
    <s v="Resolve with Buyer"/>
    <n v="7794"/>
    <n v="7794"/>
    <d v="2026-06-15T00:00:00"/>
    <s v="Sales Team"/>
    <s v="Under Sales Team validation"/>
    <s v="Yes"/>
    <s v="Manager"/>
    <s v="RB"/>
    <n v="100151"/>
    <s v="Mason Reynolds"/>
    <n v="100151"/>
    <s v="Mason Reynolds"/>
    <n v="11"/>
    <x v="0"/>
    <s v="Mason Reynolds"/>
    <s v="Description -  This Req has been handled by Sales Team and this is related to Resolve with Buyer"/>
  </r>
  <r>
    <s v="A100"/>
    <s v="AFRA100"/>
    <s v="A100-141"/>
    <d v="2026-04-15T00:00:00"/>
    <d v="2026-04-15T00:00:00"/>
    <s v="60+"/>
    <s v="Africa"/>
    <n v="65"/>
    <n v="4652986"/>
    <s v="PO4419347368"/>
    <s v="SO91141147368"/>
    <s v="51141112808"/>
    <d v="2026-03-27T00:00:00"/>
    <s v="1443616"/>
    <s v="SPAC 3616"/>
    <s v="No Receiver"/>
    <n v="37180"/>
    <n v="37180"/>
    <d v="2026-06-15T00:00:00"/>
    <s v="Sales Team"/>
    <s v="Under Sales Team validation"/>
    <s v="Yes"/>
    <s v="Manager"/>
    <s v="NR"/>
    <n v="100161"/>
    <s v="Connor Bishop"/>
    <n v="100161"/>
    <s v="Connor Bishop"/>
    <n v="11"/>
    <x v="0"/>
    <s v="Connor Bishop"/>
    <s v="Description -  This Req has been handled by Sales Team and this is related to No Receiver"/>
  </r>
  <r>
    <s v="A100"/>
    <s v="AFRA100"/>
    <s v="A100-141"/>
    <d v="2026-04-24T00:00:00"/>
    <d v="2026-06-03T00:00:00"/>
    <s v="&lt;60"/>
    <s v="Africa"/>
    <n v="56"/>
    <n v="4673023"/>
    <s v="PO39P0215856"/>
    <s v="SO91146915856"/>
    <s v="51146974486"/>
    <d v="2025-11-28T00:00:00"/>
    <s v="1802721"/>
    <s v="SOMA 2721"/>
    <s v="Resolve with Buyer"/>
    <n v="6052.86"/>
    <n v="6052.86"/>
    <d v="2026-05-27T00:00:00"/>
    <s v="Sales Team"/>
    <s v="Under Sales Team validation"/>
    <s v="No"/>
    <s v="N/A"/>
    <s v="RB"/>
    <n v="100191"/>
    <s v="Dominic Flores"/>
    <n v="100191"/>
    <s v="Dominic Flores"/>
    <n v="30"/>
    <x v="0"/>
    <s v="Dominic Flores"/>
    <s v="Description -  This Req has been handled by Sales Team and this is related to Resolve with Buyer"/>
  </r>
  <r>
    <s v="A100"/>
    <s v="AFRA100"/>
    <s v="A100-141"/>
    <d v="2026-04-30T00:00:00"/>
    <d v="2026-06-16T00:00:00"/>
    <s v="&lt;60"/>
    <s v="Africa"/>
    <n v="50"/>
    <n v="4688328"/>
    <s v="PO4418083451"/>
    <s v="SO91144983451"/>
    <s v="51144958601"/>
    <d v="2026-03-30T00:00:00"/>
    <s v="1880594"/>
    <s v="BENC 0594"/>
    <s v="Unknown Deduction"/>
    <n v="9900"/>
    <n v="9900"/>
    <d v="2026-06-22T00:00:00"/>
    <s v="Credit Team"/>
    <s v="Under Credit Team validation"/>
    <s v="No"/>
    <s v="N/A"/>
    <s v="UN"/>
    <n v="100141"/>
    <s v="Liam Matthews"/>
    <n v="100121"/>
    <s v="Olivia Jenkins"/>
    <n v="4"/>
    <x v="0"/>
    <s v="Olivia Jenkins"/>
    <s v="Description -  This Req has been handled by Credit Team and this is related to Unknown Deduction"/>
  </r>
  <r>
    <s v="A100"/>
    <s v="AFRA100"/>
    <s v="A100-141"/>
    <d v="2026-05-11T00:00:00"/>
    <d v="2026-06-17T00:00:00"/>
    <s v="&lt;60"/>
    <s v="Africa"/>
    <n v="39"/>
    <n v="4717270"/>
    <s v="PO4418671267"/>
    <s v="SO91140571267"/>
    <s v="51140516797"/>
    <d v="2026-04-06T00:00:00"/>
    <s v="1199834"/>
    <s v="SOLL 9834"/>
    <s v="Resolve with Buyer"/>
    <n v="132189.06"/>
    <n v="132189.06"/>
    <d v="2026-06-03T00:00:00"/>
    <s v="Sales Team"/>
    <s v="Under Sales Team validation"/>
    <s v="No"/>
    <s v="N/A"/>
    <s v="RB"/>
    <n v="100201"/>
    <s v="Aiden Harper"/>
    <n v="100201"/>
    <s v="Aiden Harper"/>
    <n v="23"/>
    <x v="0"/>
    <s v="Aiden Harper"/>
    <s v="Description -  This Req has been handled by Sales Team and this is related to Resolve with Buyer"/>
  </r>
  <r>
    <s v="A100"/>
    <s v="AFRA100"/>
    <s v="A100-141"/>
    <d v="2026-05-15T00:00:00"/>
    <d v="2026-05-26T00:00:00"/>
    <s v="&lt;60"/>
    <s v="Africa"/>
    <n v="35"/>
    <n v="4747325"/>
    <s v="PO4419323999"/>
    <s v="SO91149323999"/>
    <s v="51149380439"/>
    <d v="2026-04-08T00:00:00"/>
    <s v="1580936"/>
    <s v="VVDN 0936"/>
    <s v="Resolve with Buyer"/>
    <n v="275961.17"/>
    <n v="275961.17"/>
    <d v="2026-06-15T00:00:00"/>
    <s v="Sales Team"/>
    <s v="Under Sales Team validation"/>
    <s v="No"/>
    <s v="N/A"/>
    <s v="RB"/>
    <n v="100231"/>
    <s v="Jackson Norris"/>
    <n v="100231"/>
    <s v="Jackson Norris"/>
    <n v="11"/>
    <x v="0"/>
    <s v="Jackson Norris"/>
    <s v="Description -  This Req has been handled by Sales Team and this is related to Resolve with Buyer"/>
  </r>
  <r>
    <s v="A100"/>
    <s v="AFRA100"/>
    <s v="A100-141"/>
    <d v="2026-05-16T00:00:00"/>
    <d v="2026-05-16T00:00:00"/>
    <s v="&lt;60"/>
    <s v="Africa"/>
    <n v="34"/>
    <n v="4750108"/>
    <s v="PO4419836289"/>
    <s v="SO91149136289"/>
    <s v="51149183499"/>
    <d v="2026-01-16T00:00:00"/>
    <s v="1129814"/>
    <s v="COPE 9814"/>
    <s v="Freight"/>
    <n v="195.61"/>
    <n v="195.61"/>
    <d v="2026-06-18T00:00:00"/>
    <s v="Materials Team"/>
    <s v="Under Materials Team validation"/>
    <s v="No"/>
    <s v="N/A"/>
    <s v="FR"/>
    <n v="100251"/>
    <s v="Paige Sullivan"/>
    <n v="100161"/>
    <s v="Connor Bishop"/>
    <n v="8"/>
    <x v="0"/>
    <s v="Connor Bishop"/>
    <s v="Description -  This Req has been handled by Materials Team and this is related to Freight"/>
  </r>
  <r>
    <s v="A100"/>
    <s v="AFRA100"/>
    <s v="A100-141"/>
    <d v="2026-05-20T00:00:00"/>
    <d v="2026-06-16T00:00:00"/>
    <s v="&lt;60"/>
    <s v="Africa"/>
    <n v="30"/>
    <n v="4760682"/>
    <s v="PO3024485449"/>
    <s v="SO91151002991"/>
    <s v="51151002971"/>
    <d v="2026-04-03T00:00:00"/>
    <s v="1880594"/>
    <s v="BENC 0594"/>
    <s v="Unknown Deduction"/>
    <n v="1102.7"/>
    <n v="1102.7"/>
    <d v="2026-06-22T00:00:00"/>
    <s v="Credit Team"/>
    <s v="Under Credit Team validation"/>
    <s v="No"/>
    <s v="N/A"/>
    <s v="UN"/>
    <n v="100181"/>
    <s v="Ella Bennett"/>
    <n v="100151"/>
    <s v="Mason Reynolds"/>
    <n v="4"/>
    <x v="0"/>
    <s v="Mason Reynolds"/>
    <s v="Description -  This Req has been handled by Credit Team and this is related to Unknown Deduction"/>
  </r>
  <r>
    <s v="A100"/>
    <s v="AFRA100"/>
    <s v="A100-141"/>
    <d v="2026-05-21T00:00:00"/>
    <d v="2026-05-21T00:00:00"/>
    <s v="&lt;60"/>
    <s v="Africa"/>
    <n v="29"/>
    <n v="4767918"/>
    <s v="PO39P0157403"/>
    <s v="SO91152074945"/>
    <s v="51152059805"/>
    <d v="2026-04-15T00:00:00"/>
    <s v="1200360"/>
    <s v="JABI 0360"/>
    <s v="Resolve with Buyer"/>
    <n v="124.05"/>
    <n v="124.05"/>
    <d v="2026-06-22T00:00:00"/>
    <s v="Sales Team"/>
    <s v="Under Sales Team validation"/>
    <s v="No"/>
    <s v="N/A"/>
    <s v="RB"/>
    <n v="100241"/>
    <s v="Leah Pearson"/>
    <n v="100241"/>
    <s v="Leah Pearson"/>
    <n v="4"/>
    <x v="0"/>
    <s v="Leah Pearson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68196"/>
    <s v="PO39P0098632"/>
    <s v="SO91152016174"/>
    <s v="51152059844"/>
    <d v="2026-04-17T00:00:00"/>
    <s v="1200360"/>
    <s v="JABI 0360"/>
    <s v="Resolve with Buyer"/>
    <n v="6800"/>
    <n v="6800"/>
    <d v="2026-06-22T00:00:00"/>
    <s v="Sales Team"/>
    <s v="Under Sales Team validation"/>
    <s v="No"/>
    <s v="N/A"/>
    <s v="RB"/>
    <n v="100271"/>
    <s v="Brooke Palmer"/>
    <n v="100271"/>
    <s v="Brooke Palmer"/>
    <n v="4"/>
    <x v="0"/>
    <s v="Brooke Palmer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68474"/>
    <s v="PO6706257403"/>
    <s v="SO99400657403"/>
    <s v="59400670623"/>
    <d v="2026-04-22T00:00:00"/>
    <s v="1200360"/>
    <s v="JABI 0360"/>
    <s v="Resolve with Buyer"/>
    <n v="113.7"/>
    <n v="113.7"/>
    <d v="2026-06-22T00:00:00"/>
    <s v="Sales Team"/>
    <s v="Under Sales Team validation"/>
    <s v="No"/>
    <s v="N/A"/>
    <s v="RB"/>
    <n v="100281"/>
    <s v="Grace Whitaker"/>
    <n v="100281"/>
    <s v="Grace Whitaker"/>
    <n v="4"/>
    <x v="0"/>
    <s v="Grace Whitaker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68753"/>
    <s v="PO5100498632"/>
    <s v="SO91152698632"/>
    <s v="51152675182"/>
    <d v="2026-04-22T00:00:00"/>
    <s v="1200360"/>
    <s v="JABI 0360"/>
    <s v="Resolve with Buyer"/>
    <n v="109.44"/>
    <n v="109.44"/>
    <d v="2026-06-22T00:00:00"/>
    <s v="Sales Team"/>
    <s v="Under Sales Team validation"/>
    <s v="No"/>
    <s v="N/A"/>
    <s v="RB"/>
    <n v="100111"/>
    <s v="Andrew Ross"/>
    <n v="100111"/>
    <s v="Andrew Ross"/>
    <n v="4"/>
    <x v="0"/>
    <s v="Andrew Ross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69031"/>
    <s v="PO1011139862"/>
    <s v="SO91149739861"/>
    <s v="51149787491"/>
    <d v="2026-04-22T00:00:00"/>
    <s v="1200360"/>
    <s v="JABI 0360"/>
    <s v="Resolve with Buyer"/>
    <n v="113.7"/>
    <n v="113.7"/>
    <d v="2026-06-22T00:00:00"/>
    <s v="Sales Team"/>
    <s v="Under Sales Team validation"/>
    <s v="No"/>
    <s v="N/A"/>
    <s v="RB"/>
    <n v="100121"/>
    <s v="Olivia Jenkins"/>
    <n v="100121"/>
    <s v="Olivia Jenkins"/>
    <n v="4"/>
    <x v="0"/>
    <s v="Olivia Jenkins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69309"/>
    <s v="PO4420481090"/>
    <s v="SO91151381090"/>
    <s v="51151389540"/>
    <d v="2026-04-09T00:00:00"/>
    <s v="1200360"/>
    <s v="JABI 0360"/>
    <s v="Resolve with Buyer"/>
    <n v="680"/>
    <n v="680"/>
    <d v="2026-06-22T00:00:00"/>
    <s v="Sales Team"/>
    <s v="Under Sales Team validation"/>
    <s v="No"/>
    <s v="N/A"/>
    <s v="RB"/>
    <n v="100151"/>
    <s v="Mason Reynolds"/>
    <n v="100151"/>
    <s v="Mason Reynolds"/>
    <n v="4"/>
    <x v="0"/>
    <s v="Mason Reynolds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69588"/>
    <s v="PO4419822319"/>
    <s v="SO91151322319"/>
    <s v="51151397009"/>
    <d v="2026-04-08T00:00:00"/>
    <s v="1200360"/>
    <s v="JABI 0360"/>
    <s v="Resolve with Buyer"/>
    <n v="124.05"/>
    <n v="124.05"/>
    <d v="2026-06-22T00:00:00"/>
    <s v="Sales Team"/>
    <s v="Under Sales Team validation"/>
    <s v="No"/>
    <s v="N/A"/>
    <s v="RB"/>
    <n v="100161"/>
    <s v="Connor Bishop"/>
    <n v="100161"/>
    <s v="Connor Bishop"/>
    <n v="4"/>
    <x v="0"/>
    <s v="Connor Bishop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69866"/>
    <s v="PO4420563548"/>
    <s v="SO91151963548"/>
    <s v="51151945058"/>
    <d v="2026-04-09T00:00:00"/>
    <s v="1200360"/>
    <s v="JABI 0360"/>
    <s v="Resolve with Buyer"/>
    <n v="340"/>
    <n v="340"/>
    <d v="2026-06-22T00:00:00"/>
    <s v="Sales Team"/>
    <s v="Under Sales Team validation"/>
    <s v="No"/>
    <s v="N/A"/>
    <s v="RB"/>
    <n v="100191"/>
    <s v="Dominic Flores"/>
    <n v="100191"/>
    <s v="Dominic Flores"/>
    <n v="4"/>
    <x v="0"/>
    <s v="Dominic Flores"/>
    <s v="Description -  This Req has been handled by Sales Team and this is related to Resolve with Buyer"/>
  </r>
  <r>
    <s v="A100"/>
    <s v="AFRA100"/>
    <s v="A100-141"/>
    <d v="2026-05-21T00:00:00"/>
    <d v="2026-05-21T00:00:00"/>
    <s v="&lt;60"/>
    <s v="Africa"/>
    <n v="29"/>
    <n v="4770144"/>
    <s v="PO4420404777"/>
    <s v="SO91151204777"/>
    <s v="51151297097"/>
    <d v="2026-04-17T00:00:00"/>
    <s v="1200360"/>
    <s v="JABI 0360"/>
    <s v="Resolve with Buyer"/>
    <n v="341"/>
    <n v="341"/>
    <d v="2026-06-22T00:00:00"/>
    <s v="Sales Team"/>
    <s v="Under Sales Team validation"/>
    <s v="No"/>
    <s v="N/A"/>
    <s v="RB"/>
    <n v="100201"/>
    <s v="Aiden Harper"/>
    <n v="100201"/>
    <s v="Aiden Harper"/>
    <n v="4"/>
    <x v="0"/>
    <s v="Aiden Harper"/>
    <s v="Description -  This Req has been handled by Sales Team and this is related to Resolve with Buyer"/>
  </r>
  <r>
    <s v="A100"/>
    <s v="AFRA100"/>
    <s v="A100-141"/>
    <d v="2026-05-28T00:00:00"/>
    <d v="2026-06-16T00:00:00"/>
    <s v="&lt;60"/>
    <s v="Africa"/>
    <n v="22"/>
    <n v="4837211"/>
    <s v="PO4420640966"/>
    <s v="SO91154040966"/>
    <s v="51154039656"/>
    <d v="2026-01-13T00:00:00"/>
    <s v="1468334"/>
    <s v="EMS  8334"/>
    <s v="Deducted Tax"/>
    <n v="314.39"/>
    <n v="314.39"/>
    <d v="2026-06-15T00:00:00"/>
    <s v="Tax Team"/>
    <s v="Under Tax Team validation"/>
    <s v="No"/>
    <s v="N/A"/>
    <s v="TAX"/>
    <n v="100291"/>
    <s v="Laura Whitfield"/>
    <n v="100111"/>
    <s v="Andrew Ross"/>
    <n v="11"/>
    <x v="0"/>
    <s v="Andrew Ross"/>
    <s v="Description -  This Req has been handled by Tax Team and this is related to Deducted Tax"/>
  </r>
  <r>
    <s v="A100"/>
    <s v="AFRA100"/>
    <s v="A100-141"/>
    <d v="2026-05-28T00:00:00"/>
    <d v="2026-05-28T00:00:00"/>
    <s v="&lt;60"/>
    <s v="Africa"/>
    <n v="22"/>
    <n v="4839437"/>
    <s v="PO4419870798"/>
    <s v="SO91154470798"/>
    <s v="51154479448"/>
    <d v="2026-04-28T00:00:00"/>
    <s v="1443616"/>
    <s v="SPAC 3616"/>
    <s v="No Receiver"/>
    <n v="223600"/>
    <n v="223600"/>
    <d v="2026-06-15T00:00:00"/>
    <s v="Sales Team"/>
    <s v="Under Sales Team validation"/>
    <s v="No"/>
    <s v="N/A"/>
    <s v="NR"/>
    <n v="100231"/>
    <s v="Jackson Norris"/>
    <n v="100231"/>
    <s v="Jackson Norris"/>
    <n v="11"/>
    <x v="0"/>
    <s v="Jackson Norris"/>
    <s v="Description -  This Req has been handled by Sales Team and this is related to No Receiver"/>
  </r>
  <r>
    <s v="A100"/>
    <s v="AFRA100"/>
    <s v="A100-141"/>
    <d v="2026-05-28T00:00:00"/>
    <d v="2026-05-28T00:00:00"/>
    <s v="&lt;60"/>
    <s v="Africa"/>
    <n v="22"/>
    <n v="4839715"/>
    <s v="PO4420812027"/>
    <s v="SO91154512027"/>
    <s v="51154510407"/>
    <d v="2026-05-08T00:00:00"/>
    <s v="1443616"/>
    <s v="SPAC 3616"/>
    <s v="No Receiver"/>
    <n v="89440"/>
    <n v="89440"/>
    <d v="2026-06-15T00:00:00"/>
    <s v="Sales Team"/>
    <s v="Under Sales Team validation"/>
    <s v="No"/>
    <s v="N/A"/>
    <s v="NR"/>
    <n v="100241"/>
    <s v="Leah Pearson"/>
    <n v="100241"/>
    <s v="Leah Pearson"/>
    <n v="11"/>
    <x v="0"/>
    <s v="Leah Pearson"/>
    <s v="Description -  This Req has been handled by Sales Team and this is related to No Receiver"/>
  </r>
  <r>
    <s v="A100"/>
    <s v="AFRA100"/>
    <s v="A100-141"/>
    <d v="2026-06-01T00:00:00"/>
    <d v="2026-06-15T00:00:00"/>
    <s v="&lt;60"/>
    <s v="Africa"/>
    <n v="18"/>
    <n v="4857525"/>
    <s v="PO4420950683"/>
    <s v="SO91155550683"/>
    <s v="51155531403"/>
    <d v="2026-05-28T00:00:00"/>
    <s v="1388979"/>
    <s v="SKL  8979"/>
    <s v="RMA Credit Needed"/>
    <n v="9917.3799999999992"/>
    <n v="9917.3799999999992"/>
    <d v="2026-06-22T00:00:00"/>
    <s v="Materials Team"/>
    <s v="Under Materials Team validation"/>
    <s v="No"/>
    <s v="N/A"/>
    <s v="PR"/>
    <n v="100131"/>
    <s v="Emily Coleman"/>
    <n v="100111"/>
    <s v="Andrew Ross"/>
    <n v="4"/>
    <x v="0"/>
    <s v="Andrew Ross"/>
    <s v="Description -  This Req has been handled by Materials Team and this is related to RMA Credit Needed"/>
  </r>
  <r>
    <s v="A100"/>
    <s v="AFRA100"/>
    <s v="A100-141"/>
    <d v="2026-06-03T00:00:00"/>
    <d v="2026-06-03T00:00:00"/>
    <s v="&lt;60"/>
    <s v="Africa"/>
    <n v="16"/>
    <n v="4867544"/>
    <s v="PO4420934927"/>
    <s v="SO91155934927"/>
    <s v="51155972467"/>
    <d v="2026-02-09T00:00:00"/>
    <s v="1200360"/>
    <s v="JABI 0360"/>
    <s v="Unknown Deduction"/>
    <n v="1360"/>
    <n v="1360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6-06-04T00:00:00"/>
    <d v="2026-06-04T00:00:00"/>
    <s v="&lt;60"/>
    <s v="Africa"/>
    <n v="15"/>
    <n v="4869492"/>
    <s v="PO5500023530"/>
    <s v="SO91158623530"/>
    <s v="51158616960"/>
    <d v="2026-06-01T00:00:00"/>
    <s v="1443616"/>
    <s v="SPAC 3616"/>
    <s v="Unknown Deduction"/>
    <n v="304.44"/>
    <n v="304.44"/>
    <d v="2026-06-15T00:00:00"/>
    <s v="Credit Team"/>
    <s v="Under Credit Team validation"/>
    <s v="No"/>
    <s v="N/A"/>
    <s v="UN"/>
    <n v="100261"/>
    <s v="Taylor Jennings"/>
    <n v="100191"/>
    <s v="Dominic Flores"/>
    <n v="11"/>
    <x v="0"/>
    <s v="Dominic Flores"/>
    <s v="Description -  This Req has been handled by Credit Team and this is related to Unknown Deduction"/>
  </r>
  <r>
    <s v="A100"/>
    <s v="AFRA100"/>
    <s v="A100-141"/>
    <d v="2026-06-04T00:00:00"/>
    <d v="2026-06-04T00:00:00"/>
    <s v="&lt;60"/>
    <s v="Africa"/>
    <n v="15"/>
    <n v="4869770"/>
    <s v="PO4420964759"/>
    <s v="SO91156064759"/>
    <s v="51156005779"/>
    <d v="2026-06-01T00:00:00"/>
    <s v="1443616"/>
    <s v="SPAC 3616"/>
    <s v="Unknown Deduction"/>
    <n v="31.3"/>
    <n v="31.3"/>
    <d v="2026-06-15T00:00:00"/>
    <s v="Credit Team"/>
    <s v="Under Credit Team validation"/>
    <s v="No"/>
    <s v="N/A"/>
    <s v="UN"/>
    <n v="100101"/>
    <s v="James Mitchell"/>
    <n v="100111"/>
    <s v="Andrew Ross"/>
    <n v="11"/>
    <x v="0"/>
    <s v="Andrew Ross"/>
    <s v="Description -  This Req has been handled by Credit Team and this is related to Unknown Deduction"/>
  </r>
  <r>
    <s v="A100"/>
    <s v="AFRA100"/>
    <s v="A100-141"/>
    <d v="2026-06-04T00:00:00"/>
    <d v="2026-06-04T00:00:00"/>
    <s v="&lt;60"/>
    <s v="Africa"/>
    <n v="15"/>
    <n v="4870048"/>
    <s v="PO4419605988"/>
    <s v="SO91155905988"/>
    <s v="51155953858"/>
    <d v="2026-06-01T00:00:00"/>
    <s v="1443616"/>
    <s v="SPAC 3616"/>
    <s v="Unknown Deduction"/>
    <n v="31.3"/>
    <n v="31.3"/>
    <d v="2026-06-15T00:00:00"/>
    <s v="Credit Team"/>
    <s v="Under Credit Team validation"/>
    <s v="No"/>
    <s v="N/A"/>
    <s v="UN"/>
    <n v="100141"/>
    <s v="Liam Matthews"/>
    <n v="100121"/>
    <s v="Olivia Jenkins"/>
    <n v="11"/>
    <x v="0"/>
    <s v="Olivia Jenkins"/>
    <s v="Description -  This Req has been handled by Credit Team and this is related to Unknown Deduction"/>
  </r>
  <r>
    <s v="A100"/>
    <s v="AFRA100"/>
    <s v="A100-141"/>
    <d v="2026-06-09T00:00:00"/>
    <d v="2026-06-09T00:00:00"/>
    <s v="&lt;60"/>
    <s v="Africa"/>
    <n v="10"/>
    <n v="4899825"/>
    <s v="PO5500017491"/>
    <s v="SO91152617491"/>
    <s v="51152668241"/>
    <d v="2026-06-08T00:00:00"/>
    <s v="1443616"/>
    <s v="SPAC 3616"/>
    <s v="Unknown Deduction"/>
    <n v="265"/>
    <n v="265"/>
    <d v="2026-06-15T00:00:00"/>
    <s v="Credit Team"/>
    <s v="Under Credit Team validation"/>
    <s v="No"/>
    <s v="N/A"/>
    <s v="UN"/>
    <n v="100181"/>
    <s v="Ella Bennett"/>
    <n v="100151"/>
    <s v="Mason Reynolds"/>
    <n v="11"/>
    <x v="0"/>
    <s v="Mason Reynolds"/>
    <s v="Description -  This Req has been handled by Credit Team and this is related to Unknown Deduction"/>
  </r>
  <r>
    <s v="A100"/>
    <s v="AFRA100"/>
    <s v="A100-141"/>
    <d v="2026-06-09T00:00:00"/>
    <d v="2026-06-10T00:00:00"/>
    <s v="&lt;60"/>
    <s v="Africa"/>
    <n v="10"/>
    <n v="4902051"/>
    <s v="PO31-9647324"/>
    <s v="SO91159647323"/>
    <s v="51159626793"/>
    <d v="2026-04-28T00:00:00"/>
    <s v="1920383"/>
    <s v="RAPI 0383"/>
    <s v="Unknown Deduction"/>
    <n v="1883.67"/>
    <n v="1883.67"/>
    <d v="2026-06-15T00:00:00"/>
    <s v="Credit Team"/>
    <s v="Under Credit Team validation"/>
    <s v="No"/>
    <s v="N/A"/>
    <s v="UN"/>
    <n v="100221"/>
    <s v="Eli Hudson"/>
    <n v="100161"/>
    <s v="Connor Bishop"/>
    <n v="11"/>
    <x v="0"/>
    <s v="Connor Bishop"/>
    <s v="Description -  This Req has been handled by Credit Team and this is related to Unknown Deduction"/>
  </r>
  <r>
    <s v="A100"/>
    <s v="AFRA100"/>
    <s v="A100-141"/>
    <d v="2026-06-11T00:00:00"/>
    <d v="2026-06-11T00:00:00"/>
    <s v="&lt;60"/>
    <s v="Africa"/>
    <n v="8"/>
    <n v="4915130"/>
    <s v="PO126885086"/>
    <s v="SO91159185086"/>
    <s v="51159121516"/>
    <d v="2026-03-24T00:00:00"/>
    <s v="1229933"/>
    <s v="VTEC 9933"/>
    <s v="No Receiver"/>
    <n v="8568"/>
    <n v="8568"/>
    <d v="2026-06-22T00:00:00"/>
    <s v="Sales Team"/>
    <s v="Under Sales Team validation"/>
    <s v="No"/>
    <s v="N/A"/>
    <s v="NR"/>
    <n v="100271"/>
    <s v="Brooke Palmer"/>
    <n v="100271"/>
    <s v="Brooke Palmer"/>
    <n v="4"/>
    <x v="0"/>
    <s v="Brooke Palmer"/>
    <s v="Description -  This Req has been handled by Sales Team and this is related to No Receiver"/>
  </r>
  <r>
    <s v="A100"/>
    <s v="AFRA100"/>
    <s v="A100-141"/>
    <d v="2026-06-16T00:00:00"/>
    <d v="2026-06-16T00:00:00"/>
    <s v="&lt;60"/>
    <s v="Africa"/>
    <n v="3"/>
    <n v="4945742"/>
    <s v="PO4420720276"/>
    <s v="SO91158220276"/>
    <s v="51158202706"/>
    <d v="2026-06-12T00:00:00"/>
    <s v="1443616"/>
    <s v="SPAC 3616"/>
    <s v="Unknown Deduction"/>
    <n v="19.14"/>
    <n v="19.14"/>
    <d v="2026-06-22T00:00:00"/>
    <s v="Credit Team"/>
    <s v="Under Credit Team validation"/>
    <s v="No"/>
    <s v="N/A"/>
    <s v="UN"/>
    <n v="100261"/>
    <s v="Taylor Jennings"/>
    <n v="100191"/>
    <s v="Dominic Flores"/>
    <n v="4"/>
    <x v="0"/>
    <s v="Dominic Flore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6020"/>
    <s v="PO4420761505"/>
    <s v="SO91158161505"/>
    <s v="51158142085"/>
    <d v="2026-06-12T00:00:00"/>
    <s v="1443616"/>
    <s v="SPAC 3616"/>
    <s v="Unknown Deduction"/>
    <n v="10.050000000000001"/>
    <n v="10.050000000000001"/>
    <d v="2026-06-22T00:00:00"/>
    <s v="Credit Team"/>
    <s v="Under Credit Team validation"/>
    <s v="No"/>
    <s v="N/A"/>
    <s v="UN"/>
    <n v="100101"/>
    <s v="James Mitchell"/>
    <n v="100111"/>
    <s v="Andrew Ross"/>
    <n v="4"/>
    <x v="0"/>
    <s v="Andrew Ros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6298"/>
    <s v="PODO-0002735"/>
    <s v="SO91160702734"/>
    <s v="51160798754"/>
    <d v="2026-06-12T00:00:00"/>
    <s v="1900716"/>
    <s v="EPIC 0716"/>
    <s v="Discount"/>
    <n v="594.09"/>
    <n v="594.09"/>
    <d v="2026-06-22T00:00:00"/>
    <s v="Credit Team"/>
    <s v="Under Credit Team validation"/>
    <s v="No"/>
    <s v="N/A"/>
    <s v="DI"/>
    <n v="100141"/>
    <s v="Liam Matthews"/>
    <n v="100121"/>
    <s v="Olivia Jenkins"/>
    <n v="4"/>
    <x v="0"/>
    <s v="Olivia Jenkins"/>
    <s v="Description -  This Req has been handled by Credit Team and this is related to Discount"/>
  </r>
  <r>
    <s v="A100"/>
    <s v="AFRA100"/>
    <s v="A100-141"/>
    <d v="2026-06-16T00:00:00"/>
    <d v="2026-06-16T00:00:00"/>
    <s v="&lt;60"/>
    <s v="Africa"/>
    <n v="3"/>
    <n v="4946577"/>
    <s v="PO5989943963"/>
    <s v="SO91159643963"/>
    <s v="51159607763"/>
    <d v="2026-06-12T00:00:00"/>
    <s v="1443616"/>
    <s v="SPAC 3616"/>
    <s v="Unknown Deduction"/>
    <n v="34.79"/>
    <n v="34.79"/>
    <d v="2026-06-22T00:00:00"/>
    <s v="Credit Team"/>
    <s v="Under Credit Team validation"/>
    <s v="No"/>
    <s v="N/A"/>
    <s v="UN"/>
    <n v="100181"/>
    <s v="Ella Bennett"/>
    <n v="100151"/>
    <s v="Mason Reynolds"/>
    <n v="4"/>
    <x v="0"/>
    <s v="Mason Reynold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6855"/>
    <s v="PO5858785192"/>
    <s v="SO90117585192"/>
    <s v="50117585872"/>
    <d v="2026-06-12T00:00:00"/>
    <s v="1443616"/>
    <s v="SPAC 3616"/>
    <s v="Unknown Deduction"/>
    <n v="34.79"/>
    <n v="34.79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7133"/>
    <s v="PO2100326422"/>
    <s v="SO91160626421"/>
    <s v="51160632721"/>
    <d v="2026-06-12T00:00:00"/>
    <s v="1443616"/>
    <s v="SPAC 3616"/>
    <s v="Unknown Deduction"/>
    <n v="34.79"/>
    <n v="34.79"/>
    <d v="2026-06-22T00:00:00"/>
    <s v="Credit Team"/>
    <s v="Under Credit Team validation"/>
    <s v="No"/>
    <s v="N/A"/>
    <s v="UN"/>
    <n v="100261"/>
    <s v="Taylor Jennings"/>
    <n v="100191"/>
    <s v="Dominic Flores"/>
    <n v="4"/>
    <x v="0"/>
    <s v="Dominic Flore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7411"/>
    <s v="PO4580067650"/>
    <s v="SO90117567650"/>
    <s v="50117566310"/>
    <d v="2026-06-12T00:00:00"/>
    <s v="1443616"/>
    <s v="SPAC 3616"/>
    <s v="Unknown Deduction"/>
    <n v="34.79"/>
    <n v="34.79"/>
    <d v="2026-06-22T00:00:00"/>
    <s v="Credit Team"/>
    <s v="Under Credit Team validation"/>
    <s v="No"/>
    <s v="N/A"/>
    <s v="UN"/>
    <n v="100101"/>
    <s v="James Mitchell"/>
    <n v="100111"/>
    <s v="Andrew Ross"/>
    <n v="4"/>
    <x v="0"/>
    <s v="Andrew Ros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7690"/>
    <s v="PO5274908879"/>
    <s v="SO90117508879"/>
    <s v="50117527499"/>
    <d v="2026-06-12T00:00:00"/>
    <s v="1443616"/>
    <s v="SPAC 3616"/>
    <s v="Unknown Deduction"/>
    <n v="265"/>
    <n v="265"/>
    <d v="2026-06-22T00:00:00"/>
    <s v="Credit Team"/>
    <s v="Under Credit Team validation"/>
    <s v="No"/>
    <s v="N/A"/>
    <s v="UN"/>
    <n v="100141"/>
    <s v="Liam Matthews"/>
    <n v="100121"/>
    <s v="Olivia Jenkins"/>
    <n v="4"/>
    <x v="0"/>
    <s v="Olivia Jenkin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7968"/>
    <s v="PO2731150109"/>
    <s v="SO91161250108"/>
    <s v="51161299108"/>
    <d v="2026-06-12T00:00:00"/>
    <s v="1443616"/>
    <s v="SPAC 3616"/>
    <s v="Unknown Deduction"/>
    <n v="42.96"/>
    <n v="42.96"/>
    <d v="2026-06-22T00:00:00"/>
    <s v="Credit Team"/>
    <s v="Under Credit Team validation"/>
    <s v="No"/>
    <s v="N/A"/>
    <s v="UN"/>
    <n v="100181"/>
    <s v="Ella Bennett"/>
    <n v="100151"/>
    <s v="Mason Reynolds"/>
    <n v="4"/>
    <x v="0"/>
    <s v="Mason Reynold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8246"/>
    <s v="PO6240191337"/>
    <s v="SO90117691337"/>
    <s v="50117624017"/>
    <d v="2026-06-12T00:00:00"/>
    <s v="1443616"/>
    <s v="SPAC 3616"/>
    <s v="Unknown Deduction"/>
    <n v="34.79"/>
    <n v="34.79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8524"/>
    <s v="PO4518532566"/>
    <s v="SO91160332566"/>
    <s v="51160361776"/>
    <d v="2026-06-12T00:00:00"/>
    <s v="1443616"/>
    <s v="SPAC 3616"/>
    <s v="Unknown Deduction"/>
    <n v="31.92"/>
    <n v="31.92"/>
    <d v="2026-06-22T00:00:00"/>
    <s v="Credit Team"/>
    <s v="Under Credit Team validation"/>
    <s v="No"/>
    <s v="N/A"/>
    <s v="UN"/>
    <n v="100261"/>
    <s v="Taylor Jennings"/>
    <n v="100191"/>
    <s v="Dominic Flores"/>
    <n v="4"/>
    <x v="0"/>
    <s v="Dominic Flore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8803"/>
    <s v="PO4500073795"/>
    <s v="SO91160373795"/>
    <s v="51160358125"/>
    <d v="2026-06-12T00:00:00"/>
    <s v="1443616"/>
    <s v="SPAC 3616"/>
    <s v="Unknown Deduction"/>
    <n v="265"/>
    <n v="265"/>
    <d v="2026-06-22T00:00:00"/>
    <s v="Credit Team"/>
    <s v="Under Credit Team validation"/>
    <s v="No"/>
    <s v="N/A"/>
    <s v="UN"/>
    <n v="100101"/>
    <s v="James Mitchell"/>
    <n v="100111"/>
    <s v="Andrew Ross"/>
    <n v="4"/>
    <x v="0"/>
    <s v="Andrew Ros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9081"/>
    <s v="PO2729815025"/>
    <s v="SO91161115024"/>
    <s v="51161155154"/>
    <d v="2026-06-12T00:00:00"/>
    <s v="1443616"/>
    <s v="SPAC 3616"/>
    <s v="Unknown Deduction"/>
    <n v="34.79"/>
    <n v="34.79"/>
    <d v="2026-06-22T00:00:00"/>
    <s v="Credit Team"/>
    <s v="Under Credit Team validation"/>
    <s v="No"/>
    <s v="N/A"/>
    <s v="UN"/>
    <n v="100141"/>
    <s v="Liam Matthews"/>
    <n v="100121"/>
    <s v="Olivia Jenkins"/>
    <n v="4"/>
    <x v="0"/>
    <s v="Olivia Jenkin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9359"/>
    <s v="PO5722756253"/>
    <s v="SO91160556253"/>
    <s v="51160572273"/>
    <d v="2026-06-12T00:00:00"/>
    <s v="1443616"/>
    <s v="SPAC 3616"/>
    <s v="Unknown Deduction"/>
    <n v="34.79"/>
    <n v="34.79"/>
    <d v="2026-06-22T00:00:00"/>
    <s v="Credit Team"/>
    <s v="Under Credit Team validation"/>
    <s v="No"/>
    <s v="N/A"/>
    <s v="UN"/>
    <n v="100181"/>
    <s v="Ella Bennett"/>
    <n v="100151"/>
    <s v="Mason Reynolds"/>
    <n v="4"/>
    <x v="0"/>
    <s v="Mason Reynold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9638"/>
    <s v="PO2728497482"/>
    <s v="SO91161197482"/>
    <s v="51161155172"/>
    <d v="2026-06-12T00:00:00"/>
    <s v="1443616"/>
    <s v="SPAC 3616"/>
    <s v="Unknown Deduction"/>
    <n v="20.440000000000001"/>
    <n v="20.440000000000001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49916"/>
    <s v="PO2730038711"/>
    <s v="SO91161138711"/>
    <s v="51161155211"/>
    <d v="2026-06-12T00:00:00"/>
    <s v="1443616"/>
    <s v="SPAC 3616"/>
    <s v="Unknown Deduction"/>
    <n v="25.35"/>
    <n v="25.35"/>
    <d v="2026-06-22T00:00:00"/>
    <s v="Credit Team"/>
    <s v="Under Credit Team validation"/>
    <s v="No"/>
    <s v="N/A"/>
    <s v="UN"/>
    <n v="100261"/>
    <s v="Taylor Jennings"/>
    <n v="100191"/>
    <s v="Dominic Flores"/>
    <n v="4"/>
    <x v="0"/>
    <s v="Dominic Flore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50194"/>
    <s v="PO2728479940"/>
    <s v="SO91161379940"/>
    <s v="51161393040"/>
    <d v="2026-06-12T00:00:00"/>
    <s v="1443616"/>
    <s v="SPAC 3616"/>
    <s v="Unknown Deduction"/>
    <n v="42.96"/>
    <n v="42.96"/>
    <d v="2026-06-22T00:00:00"/>
    <s v="Credit Team"/>
    <s v="Under Credit Team validation"/>
    <s v="No"/>
    <s v="N/A"/>
    <s v="UN"/>
    <n v="100101"/>
    <s v="James Mitchell"/>
    <n v="100111"/>
    <s v="Andrew Ross"/>
    <n v="4"/>
    <x v="0"/>
    <s v="Andrew Ross"/>
    <s v="Description -  This Req has been handled by Credit Team and this is related to Unknown Deduction"/>
  </r>
  <r>
    <s v="A100"/>
    <s v="AFRA100"/>
    <s v="A100-141"/>
    <d v="2026-06-16T00:00:00"/>
    <d v="2026-06-16T00:00:00"/>
    <s v="&lt;60"/>
    <s v="Africa"/>
    <n v="3"/>
    <n v="4950472"/>
    <s v="PO6792721169"/>
    <s v="SO90117621169"/>
    <s v="50117679279"/>
    <d v="2026-06-12T00:00:00"/>
    <s v="1443616"/>
    <s v="SPAC 3616"/>
    <s v="Unknown Deduction"/>
    <n v="42.96"/>
    <n v="42.96"/>
    <d v="2026-06-22T00:00:00"/>
    <s v="Credit Team"/>
    <s v="Under Credit Team validation"/>
    <s v="No"/>
    <s v="N/A"/>
    <s v="UN"/>
    <n v="100141"/>
    <s v="Liam Matthews"/>
    <n v="100121"/>
    <s v="Olivia Jenkins"/>
    <n v="4"/>
    <x v="0"/>
    <s v="Olivia Jenkin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59934"/>
    <s v="PO3014222955"/>
    <s v="SO91161922955"/>
    <s v="51161907705"/>
    <d v="2026-02-05T00:00:00"/>
    <s v="1468334"/>
    <s v="EMS  8334"/>
    <s v="Deducted Tax"/>
    <n v="114.4"/>
    <n v="114.4"/>
    <d v="2026-06-22T00:00:00"/>
    <s v="Tax Team"/>
    <s v="Under Tax Team validation"/>
    <s v="No"/>
    <s v="N/A"/>
    <s v="TAX"/>
    <n v="100291"/>
    <s v="Laura Whitfield"/>
    <n v="100111"/>
    <s v="Andrew Ross"/>
    <n v="4"/>
    <x v="0"/>
    <s v="Andrew Ross"/>
    <s v="Description -  This Req has been handled by Tax Team and this is related to Deducted Tax"/>
  </r>
  <r>
    <s v="A100"/>
    <s v="AFRA100"/>
    <s v="A100-141"/>
    <d v="2026-06-17T00:00:00"/>
    <d v="2026-06-17T00:00:00"/>
    <s v="&lt;60"/>
    <s v="Africa"/>
    <n v="2"/>
    <n v="4966056"/>
    <s v="PO3014229993"/>
    <s v="SO91161929993"/>
    <s v="51161918053"/>
    <d v="2026-04-29T00:00:00"/>
    <s v="1394929"/>
    <s v="INGR 4929"/>
    <s v="Resolve with Buyer"/>
    <n v="751.61"/>
    <n v="751.61"/>
    <d v="2026-06-22T00:00:00"/>
    <s v="Sales Team"/>
    <s v="Under Sales Team validation"/>
    <s v="No"/>
    <s v="N/A"/>
    <s v="RB"/>
    <n v="100281"/>
    <s v="Grace Whitaker"/>
    <n v="100281"/>
    <s v="Grace Whitaker"/>
    <n v="4"/>
    <x v="0"/>
    <s v="Grace Whitaker"/>
    <s v="Description -  This Req has been handled by Sales Team and this is related to Resolve with Buyer"/>
  </r>
  <r>
    <s v="A100"/>
    <s v="AFRA100"/>
    <s v="A100-141"/>
    <d v="2026-06-17T00:00:00"/>
    <d v="2026-06-17T00:00:00"/>
    <s v="&lt;60"/>
    <s v="Africa"/>
    <n v="2"/>
    <n v="4969674"/>
    <s v="PO6996165970"/>
    <s v="SO90117665970"/>
    <s v="50117699610"/>
    <d v="2026-05-05T00:00:00"/>
    <s v="1880594"/>
    <s v="BENC 0594"/>
    <s v="Unknown Deduction"/>
    <n v="980"/>
    <n v="980"/>
    <d v="2026-06-22T00:00:00"/>
    <s v="Credit Team"/>
    <s v="Under Credit Team validation"/>
    <s v="No"/>
    <s v="N/A"/>
    <s v="UN"/>
    <n v="100181"/>
    <s v="Ella Bennett"/>
    <n v="100151"/>
    <s v="Mason Reynolds"/>
    <n v="4"/>
    <x v="0"/>
    <s v="Mason Reynold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69952"/>
    <s v="PO4420107199"/>
    <s v="SO91158607199"/>
    <s v="51158609189"/>
    <d v="2026-04-27T00:00:00"/>
    <s v="1880594"/>
    <s v="BENC 0594"/>
    <s v="Unknown Deduction"/>
    <n v="35.700000000000003"/>
    <n v="35.700000000000003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0231"/>
    <s v="PO4420148428"/>
    <s v="SO91158648428"/>
    <s v="51158608808"/>
    <d v="2026-05-01T00:00:00"/>
    <s v="1880594"/>
    <s v="BENC 0594"/>
    <s v="Unknown Deduction"/>
    <n v="393.84"/>
    <n v="393.84"/>
    <d v="2026-06-22T00:00:00"/>
    <s v="Credit Team"/>
    <s v="Under Credit Team validation"/>
    <s v="No"/>
    <s v="N/A"/>
    <s v="UN"/>
    <n v="100261"/>
    <s v="Taylor Jennings"/>
    <n v="100191"/>
    <s v="Dominic Flores"/>
    <n v="4"/>
    <x v="0"/>
    <s v="Dominic Flore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0509"/>
    <s v="PO4420289657"/>
    <s v="SO91158689657"/>
    <s v="51158608947"/>
    <d v="2026-04-29T00:00:00"/>
    <s v="1880594"/>
    <s v="BENC 0594"/>
    <s v="Unknown Deduction"/>
    <n v="2019.6"/>
    <n v="2019.6"/>
    <d v="2026-06-22T00:00:00"/>
    <s v="Credit Team"/>
    <s v="Under Credit Team validation"/>
    <s v="No"/>
    <s v="N/A"/>
    <s v="UN"/>
    <n v="100101"/>
    <s v="James Mitchell"/>
    <n v="100111"/>
    <s v="Andrew Ross"/>
    <n v="4"/>
    <x v="0"/>
    <s v="Andrew Ros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0787"/>
    <s v="PO4420130886"/>
    <s v="SO91158630886"/>
    <s v="51158646116"/>
    <d v="2026-05-12T00:00:00"/>
    <s v="1880594"/>
    <s v="BENC 0594"/>
    <s v="Unknown Deduction"/>
    <n v="485.05"/>
    <n v="485.05"/>
    <d v="2026-06-22T00:00:00"/>
    <s v="Credit Team"/>
    <s v="Under Credit Team validation"/>
    <s v="No"/>
    <s v="N/A"/>
    <s v="UN"/>
    <n v="100141"/>
    <s v="Liam Matthews"/>
    <n v="100121"/>
    <s v="Olivia Jenkins"/>
    <n v="4"/>
    <x v="0"/>
    <s v="Olivia Jenkin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1066"/>
    <s v="PO2526272116"/>
    <s v="SO91161872115"/>
    <s v="51161872425"/>
    <d v="2026-05-11T00:00:00"/>
    <s v="1880594"/>
    <s v="BENC 0594"/>
    <s v="Unknown Deduction"/>
    <n v="110"/>
    <n v="110"/>
    <d v="2026-06-22T00:00:00"/>
    <s v="Credit Team"/>
    <s v="Under Credit Team validation"/>
    <s v="No"/>
    <s v="N/A"/>
    <s v="UN"/>
    <n v="100181"/>
    <s v="Ella Bennett"/>
    <n v="100151"/>
    <s v="Mason Reynolds"/>
    <n v="4"/>
    <x v="0"/>
    <s v="Mason Reynold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1344"/>
    <s v="PO8019813344"/>
    <s v="SO90117613344"/>
    <s v="50117696514"/>
    <d v="2026-05-08T00:00:00"/>
    <s v="1880594"/>
    <s v="BENC 0594"/>
    <s v="Unknown Deduction"/>
    <n v="13608"/>
    <n v="13608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1622"/>
    <s v="POMH/GP54574"/>
    <s v="SO91161354573"/>
    <s v="51161376973"/>
    <d v="2026-05-07T00:00:00"/>
    <s v="1880594"/>
    <s v="BENC 0594"/>
    <s v="Unknown Deduction"/>
    <n v="100.8"/>
    <n v="100.8"/>
    <d v="2026-06-22T00:00:00"/>
    <s v="Credit Team"/>
    <s v="Under Credit Team validation"/>
    <s v="No"/>
    <s v="N/A"/>
    <s v="UN"/>
    <n v="100261"/>
    <s v="Taylor Jennings"/>
    <n v="100191"/>
    <s v="Dominic Flores"/>
    <n v="4"/>
    <x v="0"/>
    <s v="Dominic Flore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1900"/>
    <s v="PO8016395802"/>
    <s v="SO90117695802"/>
    <s v="50117696512"/>
    <d v="2026-05-07T00:00:00"/>
    <s v="1880594"/>
    <s v="BENC 0594"/>
    <s v="Unknown Deduction"/>
    <n v="137.6"/>
    <n v="137.6"/>
    <d v="2026-06-22T00:00:00"/>
    <s v="Credit Team"/>
    <s v="Under Credit Team validation"/>
    <s v="No"/>
    <s v="N/A"/>
    <s v="UN"/>
    <n v="100101"/>
    <s v="James Mitchell"/>
    <n v="100111"/>
    <s v="Andrew Ross"/>
    <n v="4"/>
    <x v="0"/>
    <s v="Andrew Ros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2179"/>
    <s v="PO39U1537032"/>
    <s v="SO91160437031"/>
    <s v="51160445841"/>
    <d v="2026-04-27T00:00:00"/>
    <s v="1880594"/>
    <s v="BENC 0594"/>
    <s v="Unknown Deduction"/>
    <n v="486"/>
    <n v="486"/>
    <d v="2026-06-22T00:00:00"/>
    <s v="Credit Team"/>
    <s v="Under Credit Team validation"/>
    <s v="No"/>
    <s v="N/A"/>
    <s v="UN"/>
    <n v="100141"/>
    <s v="Liam Matthews"/>
    <n v="100121"/>
    <s v="Olivia Jenkins"/>
    <n v="4"/>
    <x v="0"/>
    <s v="Olivia Jenkin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2457"/>
    <s v="PO1014178261"/>
    <s v="SO90117778260"/>
    <s v="50117748400"/>
    <d v="2026-04-25T00:00:00"/>
    <s v="1880594"/>
    <s v="BENC 0594"/>
    <s v="Unknown Deduction"/>
    <n v="8.3000000000000007"/>
    <n v="8.3000000000000007"/>
    <d v="2026-06-22T00:00:00"/>
    <s v="Credit Team"/>
    <s v="Under Credit Team validation"/>
    <s v="No"/>
    <s v="N/A"/>
    <s v="UN"/>
    <n v="100181"/>
    <s v="Ella Bennett"/>
    <n v="100151"/>
    <s v="Mason Reynolds"/>
    <n v="4"/>
    <x v="0"/>
    <s v="Mason Reynold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2735"/>
    <s v="PO5841819489"/>
    <s v="SO91161619489"/>
    <s v="51161646779"/>
    <d v="2026-05-19T00:00:00"/>
    <s v="1880594"/>
    <s v="BENC 0594"/>
    <s v="Unknown Deduction"/>
    <n v="3410"/>
    <n v="3410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3014"/>
    <s v="POPOJS43176"/>
    <s v="SO91151060718"/>
    <s v="51151026128"/>
    <d v="2026-05-19T00:00:00"/>
    <s v="1880594"/>
    <s v="BENC 0594"/>
    <s v="Unknown Deduction"/>
    <n v="129.88999999999999"/>
    <n v="129.88999999999999"/>
    <d v="2026-06-22T00:00:00"/>
    <s v="Credit Team"/>
    <s v="Under Credit Team validation"/>
    <s v="No"/>
    <s v="N/A"/>
    <s v="UN"/>
    <n v="100261"/>
    <s v="Taylor Jennings"/>
    <n v="100191"/>
    <s v="Dominic Flores"/>
    <n v="4"/>
    <x v="0"/>
    <s v="Dominic Flore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3292"/>
    <s v="POPOJS15595"/>
    <s v="SO91151001947"/>
    <s v="51151026087"/>
    <d v="2026-05-15T00:00:00"/>
    <s v="1880594"/>
    <s v="BENC 0594"/>
    <s v="Unknown Deduction"/>
    <n v="17.670000000000002"/>
    <n v="17.670000000000002"/>
    <d v="2026-06-22T00:00:00"/>
    <s v="Credit Team"/>
    <s v="Under Credit Team validation"/>
    <s v="No"/>
    <s v="N/A"/>
    <s v="UN"/>
    <n v="100101"/>
    <s v="James Mitchell"/>
    <n v="100111"/>
    <s v="Andrew Ross"/>
    <n v="4"/>
    <x v="0"/>
    <s v="Andrew Ros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3570"/>
    <s v="POPROX043177"/>
    <s v="SO91152143176"/>
    <s v="51152140926"/>
    <d v="2026-05-15T00:00:00"/>
    <s v="1880594"/>
    <s v="BENC 0594"/>
    <s v="Unknown Deduction"/>
    <n v="50.01"/>
    <n v="50.01"/>
    <d v="2026-06-22T00:00:00"/>
    <s v="Credit Team"/>
    <s v="Under Credit Team validation"/>
    <s v="No"/>
    <s v="N/A"/>
    <s v="UN"/>
    <n v="100141"/>
    <s v="Liam Matthews"/>
    <n v="100121"/>
    <s v="Olivia Jenkins"/>
    <n v="4"/>
    <x v="0"/>
    <s v="Olivia Jenkin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3848"/>
    <s v="PO9300884405"/>
    <s v="SO91159484405"/>
    <s v="51159472835"/>
    <d v="2026-05-14T00:00:00"/>
    <s v="1880594"/>
    <s v="BENC 0594"/>
    <s v="Unknown Deduction"/>
    <n v="584.5"/>
    <n v="584.5"/>
    <d v="2026-06-22T00:00:00"/>
    <s v="Credit Team"/>
    <s v="Under Credit Team validation"/>
    <s v="No"/>
    <s v="N/A"/>
    <s v="UN"/>
    <n v="100181"/>
    <s v="Ella Bennett"/>
    <n v="100151"/>
    <s v="Mason Reynolds"/>
    <n v="4"/>
    <x v="0"/>
    <s v="Mason Reynold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4127"/>
    <s v="PO4434025634"/>
    <s v="SO91158525634"/>
    <s v="51158586614"/>
    <d v="2026-05-14T00:00:00"/>
    <s v="1880594"/>
    <s v="BENC 0594"/>
    <s v="Unknown Deduction"/>
    <n v="341.44"/>
    <n v="341.44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4405"/>
    <s v="PO4515066863"/>
    <s v="SO91161366863"/>
    <s v="51161379163"/>
    <d v="2026-05-12T00:00:00"/>
    <s v="1880594"/>
    <s v="BENC 0594"/>
    <s v="Unknown Deduction"/>
    <n v="74.48"/>
    <n v="74.48"/>
    <d v="2026-06-22T00:00:00"/>
    <s v="Credit Team"/>
    <s v="Under Credit Team validation"/>
    <s v="No"/>
    <s v="N/A"/>
    <s v="UN"/>
    <n v="100261"/>
    <s v="Taylor Jennings"/>
    <n v="100191"/>
    <s v="Dominic Flores"/>
    <n v="4"/>
    <x v="0"/>
    <s v="Dominic Flore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4683"/>
    <s v="PO5107108092"/>
    <s v="SO91162608092"/>
    <s v="51162631052"/>
    <d v="2026-05-19T00:00:00"/>
    <s v="1880594"/>
    <s v="BENC 0594"/>
    <s v="Unknown Deduction"/>
    <n v="487.08"/>
    <n v="487.08"/>
    <d v="2026-06-22T00:00:00"/>
    <s v="Credit Team"/>
    <s v="Under Credit Team validation"/>
    <s v="No"/>
    <s v="N/A"/>
    <s v="UN"/>
    <n v="100101"/>
    <s v="James Mitchell"/>
    <n v="100111"/>
    <s v="Andrew Ross"/>
    <n v="4"/>
    <x v="0"/>
    <s v="Andrew Ros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4962"/>
    <s v="PO2100349322"/>
    <s v="SO91162149321"/>
    <s v="51162147621"/>
    <d v="2026-05-14T00:00:00"/>
    <s v="1880594"/>
    <s v="BENC 0594"/>
    <s v="Unknown Deduction"/>
    <n v="4256.99"/>
    <n v="4256.99"/>
    <d v="2026-06-22T00:00:00"/>
    <s v="Credit Team"/>
    <s v="Under Credit Team validation"/>
    <s v="No"/>
    <s v="N/A"/>
    <s v="UN"/>
    <n v="100141"/>
    <s v="Liam Matthews"/>
    <n v="100121"/>
    <s v="Olivia Jenkins"/>
    <n v="4"/>
    <x v="0"/>
    <s v="Olivia Jenkin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5240"/>
    <s v="POT009790551"/>
    <s v="SO91160890550"/>
    <s v="51160814390"/>
    <d v="2026-05-15T00:00:00"/>
    <s v="1880594"/>
    <s v="BENC 0594"/>
    <s v="Unknown Deduction"/>
    <n v="11871.96"/>
    <n v="11871.96"/>
    <d v="2026-06-22T00:00:00"/>
    <s v="Credit Team"/>
    <s v="Under Credit Team validation"/>
    <s v="No"/>
    <s v="N/A"/>
    <s v="UN"/>
    <n v="100181"/>
    <s v="Ella Bennett"/>
    <n v="100151"/>
    <s v="Mason Reynolds"/>
    <n v="4"/>
    <x v="0"/>
    <s v="Mason Reynolds"/>
    <s v="Description -  This Req has been handled by Credit Team and this is related to Unknown Deduction"/>
  </r>
  <r>
    <s v="A100"/>
    <s v="AFRA100"/>
    <s v="A100-141"/>
    <d v="2026-06-17T00:00:00"/>
    <d v="2026-06-17T00:00:00"/>
    <s v="&lt;60"/>
    <s v="Africa"/>
    <n v="2"/>
    <n v="4975518"/>
    <s v="PO4514731779"/>
    <s v="SO91161331779"/>
    <s v="51161379179"/>
    <d v="2026-05-13T00:00:00"/>
    <s v="1880594"/>
    <s v="BENC 0594"/>
    <s v="Unknown Deduction"/>
    <n v="369.36"/>
    <n v="369.36"/>
    <d v="2026-06-22T00:00:00"/>
    <s v="Credit Team"/>
    <s v="Under Credit Team validation"/>
    <s v="No"/>
    <s v="N/A"/>
    <s v="UN"/>
    <n v="100221"/>
    <s v="Eli Hudson"/>
    <n v="100161"/>
    <s v="Connor Bishop"/>
    <n v="4"/>
    <x v="0"/>
    <s v="Connor Bishop"/>
    <s v="Description -  This Req has been handled by Credit Team and this is related to Unknown Deduction"/>
  </r>
  <r>
    <s v="A100"/>
    <s v="AFRA100"/>
    <s v="A100-141"/>
    <d v="2026-06-18T00:00:00"/>
    <d v="2026-06-18T00:00:00"/>
    <s v="&lt;60"/>
    <s v="Africa"/>
    <n v="1"/>
    <n v="4975796"/>
    <s v="POT009773009"/>
    <s v="SO91160373008"/>
    <s v="51160376888"/>
    <d v="2026-06-16T00:00:00"/>
    <s v="1465326"/>
    <s v="IVEI 5326"/>
    <s v="Unknown Deduction"/>
    <n v="2000"/>
    <n v="2000"/>
    <d v="2026-06-22T00:00:00"/>
    <s v="Credit Team"/>
    <s v="Under Credit Team validation"/>
    <s v="No"/>
    <s v="N/A"/>
    <s v="UN"/>
    <n v="100261"/>
    <s v="Taylor Jennings"/>
    <n v="100191"/>
    <s v="Dominic Flores"/>
    <n v="4"/>
    <x v="0"/>
    <s v="Dominic Flores"/>
    <s v="Description -  This Req has been handled by Credit Team and this is related to Unknown Deductio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2FD56F-2C8F-46D8-81F3-FFBBB8023BA8}" name="ManagerData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5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howAll="0"/>
    <pivotField compact="0" outline="0" showAll="0"/>
  </pivotFields>
  <rowFields count="1">
    <field x="29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30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2651F8-B168-4F95-86FC-60BC479AD590}" name="PivotData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26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axis="axisRow" compact="0" outline="0" showAll="0" sortType="descending" defaultSubtotal="0">
      <items count="22">
        <item x="10"/>
        <item x="9"/>
        <item x="13"/>
        <item x="6"/>
        <item x="16"/>
        <item x="11"/>
        <item x="20"/>
        <item x="7"/>
        <item x="0"/>
        <item x="1"/>
        <item x="3"/>
        <item x="8"/>
        <item x="21"/>
        <item x="5"/>
        <item x="18"/>
        <item x="4"/>
        <item x="17"/>
        <item x="14"/>
        <item x="12"/>
        <item x="2"/>
        <item x="19"/>
        <item x="15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</pivotFields>
  <rowFields count="1">
    <field x="14"/>
  </rowFields>
  <rowItems count="23">
    <i>
      <x v="19"/>
    </i>
    <i>
      <x v="21"/>
    </i>
    <i>
      <x v="17"/>
    </i>
    <i>
      <x v="8"/>
    </i>
    <i>
      <x v="9"/>
    </i>
    <i>
      <x v="2"/>
    </i>
    <i>
      <x v="7"/>
    </i>
    <i>
      <x/>
    </i>
    <i>
      <x v="13"/>
    </i>
    <i>
      <x v="16"/>
    </i>
    <i>
      <x v="20"/>
    </i>
    <i>
      <x v="18"/>
    </i>
    <i>
      <x v="5"/>
    </i>
    <i>
      <x v="12"/>
    </i>
    <i>
      <x v="14"/>
    </i>
    <i>
      <x v="1"/>
    </i>
    <i>
      <x v="11"/>
    </i>
    <i>
      <x v="3"/>
    </i>
    <i>
      <x v="6"/>
    </i>
    <i>
      <x v="10"/>
    </i>
    <i>
      <x v="4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13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F305" totalsRowShown="0" headerRowDxfId="34" dataDxfId="32" headerRowBorderDxfId="33">
  <autoFilter ref="A1:AF305" xr:uid="{B5B8E376-FDED-4587-B85C-890BAD335648}"/>
  <tableColumns count="32">
    <tableColumn id="1" xr3:uid="{02BE67BA-FFF5-42FD-B988-DEE26608B0B4}" name="Sales Organization" dataDxfId="31"/>
    <tableColumn id="2" xr3:uid="{C818FAEF-A244-4D4A-A81A-FBC29416187A}" name="Sales Group" dataDxfId="30"/>
    <tableColumn id="3" xr3:uid="{741C2E50-B778-4B5E-BF79-1A0DB564A8DD}" name="Sales Office" dataDxfId="29"/>
    <tableColumn id="4" xr3:uid="{0AF37979-C27D-4CEF-9810-F82F5749C7A8}" name="Created On" dataDxfId="28"/>
    <tableColumn id="5" xr3:uid="{B51E4B08-1A68-4599-98E2-7328A6F93D18}" name="Last Changed On" dataDxfId="27"/>
    <tableColumn id="6" xr3:uid="{669F9FE6-2C39-4A32-996C-CB31FB40B851}" name="Bucket" dataDxfId="26"/>
    <tableColumn id="7" xr3:uid="{EBBB66F7-3B78-4E57-820C-0BF3F5A40485}" name="AOR" dataDxfId="25"/>
    <tableColumn id="8" xr3:uid="{5A650E16-021E-414A-81C5-F9815A46B3CD}" name="Days" dataDxfId="24"/>
    <tableColumn id="31" xr3:uid="{1D7F5137-8E0A-47F7-A104-AF73B6E12031}" name="Case ID" dataDxfId="23"/>
    <tableColumn id="10" xr3:uid="{8AEA087F-FDFC-47BE-ADC4-F320DE47B443}" name="External Reference" dataDxfId="22"/>
    <tableColumn id="11" xr3:uid="{C0A50147-3518-493C-9A90-22619BF992CF}" name="Sales Order" dataDxfId="21"/>
    <tableColumn id="12" xr3:uid="{5E27D525-FD19-4927-A53D-D3743B66013D}" name="Case Title" dataDxfId="20"/>
    <tableColumn id="13" xr3:uid="{13A4A466-4A08-4F16-A8E4-7B6AF6F173D4}" name="Inv Date" dataDxfId="19"/>
    <tableColumn id="14" xr3:uid="{C0F98169-161B-4CC1-BFB8-FFD083C281F1}" name="Customer Number" dataDxfId="18"/>
    <tableColumn id="15" xr3:uid="{0102F7F5-20ED-4F6A-AD73-5A298D26F610}" name="Customer Name " dataDxfId="17"/>
    <tableColumn id="16" xr3:uid="{0D7930BF-2FD2-4170-87F9-5CAF6A49FBBE}" name="Cause Desc" dataDxfId="16"/>
    <tableColumn id="17" xr3:uid="{B4BDC6D4-E8FC-4853-B085-2F9567318D5D}" name="Disputed Amount" dataDxfId="15"/>
    <tableColumn id="18" xr3:uid="{8DD4F404-A3BE-4003-B37E-C14028CA9D9A}" name="Original Disputed Amount" dataDxfId="14"/>
    <tableColumn id="19" xr3:uid="{456E948A-9B7E-4925-BE4E-0E702B638AD4}" name="Status Date" dataDxfId="13"/>
    <tableColumn id="20" xr3:uid="{8405763D-37B2-4456-8621-91B295587E7D}" name="Owner" dataDxfId="12"/>
    <tableColumn id="21" xr3:uid="{32D2035E-202B-41C3-A750-75E3D79E08FF}" name="Billing Support Notes" dataDxfId="11"/>
    <tableColumn id="22" xr3:uid="{E70BDEAE-D89A-40DC-8327-012CA90E82FD}" name="Escalation Y/N" dataDxfId="10"/>
    <tableColumn id="23" xr3:uid="{50B7AB2F-8111-49B8-AFA6-5FCFA6BB23C4}" name="Escalation Level" dataDxfId="9"/>
    <tableColumn id="24" xr3:uid="{A0D46945-642F-4CD5-88AA-D8C0A724F6B5}" name="Reason ID" dataDxfId="8"/>
    <tableColumn id="25" xr3:uid="{FA871A56-3309-4B41-9508-90C4D3C4DDC3}" name="Processor ID" dataDxfId="7"/>
    <tableColumn id="26" xr3:uid="{6B45B9C9-094D-4ACA-915A-96218E943BFE}" name="Processor Name" dataDxfId="6"/>
    <tableColumn id="27" xr3:uid="{9DC9E69F-26C5-4CF2-AA58-C5BD74DE4CA7}" name="Coordinator ID" dataDxfId="5"/>
    <tableColumn id="28" xr3:uid="{026D23BE-A762-424E-88AF-40DEB69967C6}" name="Coordinator Name" dataDxfId="4"/>
    <tableColumn id="29" xr3:uid="{D55F08E0-EDED-4244-A1CC-280AD9CE5CB5}" name="Status Days count" dataDxfId="3">
      <calculatedColumnFormula>TODAY()-Open[[#This Row],[Status Date]]</calculatedColumnFormula>
    </tableColumn>
    <tableColumn id="30" xr3:uid="{49D2ABFB-5287-4E7B-B403-078ABAFAC328}" name="Manager Name" dataDxfId="2"/>
    <tableColumn id="9" xr3:uid="{01F4BA40-3E04-4D3A-A4B1-54F36C76D962}" name="Manager Name2" dataDxfId="1">
      <calculatedColumnFormula>AB2</calculatedColumnFormula>
    </tableColumn>
    <tableColumn id="32" xr3:uid="{F226B50C-97B7-476F-8609-B6DD41F9CDB3}" name="UDM Note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F9EA4-8278-492F-BEA5-21895C1C31DE}">
  <dimension ref="A3:C5"/>
  <sheetViews>
    <sheetView workbookViewId="0"/>
  </sheetViews>
  <sheetFormatPr defaultRowHeight="14.4" x14ac:dyDescent="0.3"/>
  <cols>
    <col min="1" max="1" width="16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29</v>
      </c>
      <c r="B3" t="s">
        <v>1048</v>
      </c>
      <c r="C3" t="s">
        <v>1049</v>
      </c>
    </row>
    <row r="4" spans="1:3" x14ac:dyDescent="0.3">
      <c r="A4" t="s">
        <v>91</v>
      </c>
      <c r="B4">
        <v>304</v>
      </c>
      <c r="C4" s="8">
        <v>2605213.6999999993</v>
      </c>
    </row>
    <row r="5" spans="1:3" x14ac:dyDescent="0.3">
      <c r="A5" t="s">
        <v>1047</v>
      </c>
      <c r="B5">
        <v>304</v>
      </c>
      <c r="C5" s="8">
        <v>2605213.6999999993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9B40B-6EB3-4961-9D64-F389C59EE9C5}">
  <dimension ref="A1:B11"/>
  <sheetViews>
    <sheetView workbookViewId="0"/>
  </sheetViews>
  <sheetFormatPr defaultRowHeight="14.4" x14ac:dyDescent="0.3"/>
  <cols>
    <col min="1" max="1" width="14.44140625" bestFit="1" customWidth="1"/>
    <col min="2" max="2" width="7" bestFit="1" customWidth="1"/>
  </cols>
  <sheetData>
    <row r="1" spans="1:2" x14ac:dyDescent="0.3">
      <c r="A1" t="s">
        <v>25</v>
      </c>
      <c r="B1" t="s">
        <v>1050</v>
      </c>
    </row>
    <row r="2" spans="1:2" x14ac:dyDescent="0.3">
      <c r="A2" s="9" t="s">
        <v>90</v>
      </c>
      <c r="B2">
        <f>IFERROR(INDEX(Open!Y:Y,MATCH(A2,Open!Z:Z,0)),"")</f>
        <v>100111</v>
      </c>
    </row>
    <row r="3" spans="1:2" x14ac:dyDescent="0.3">
      <c r="A3" s="3" t="s">
        <v>103</v>
      </c>
      <c r="B3">
        <f>IFERROR(INDEX(Open!Y:Y,MATCH(A3,Open!Z:Z,0)),"")</f>
        <v>100121</v>
      </c>
    </row>
    <row r="4" spans="1:2" x14ac:dyDescent="0.3">
      <c r="A4" s="9" t="s">
        <v>108</v>
      </c>
      <c r="B4">
        <f>IFERROR(INDEX(Open!Y:Y,MATCH(A4,Open!Z:Z,0)),"")</f>
        <v>100151</v>
      </c>
    </row>
    <row r="5" spans="1:2" x14ac:dyDescent="0.3">
      <c r="A5" s="3" t="s">
        <v>132</v>
      </c>
      <c r="B5">
        <f>IFERROR(INDEX(Open!Y:Y,MATCH(A5,Open!Z:Z,0)),"")</f>
        <v>100161</v>
      </c>
    </row>
    <row r="6" spans="1:2" x14ac:dyDescent="0.3">
      <c r="A6" s="9" t="s">
        <v>137</v>
      </c>
      <c r="B6">
        <f>IFERROR(INDEX(Open!Y:Y,MATCH(A6,Open!Z:Z,0)),"")</f>
        <v>100191</v>
      </c>
    </row>
    <row r="7" spans="1:2" x14ac:dyDescent="0.3">
      <c r="A7" s="3" t="s">
        <v>306</v>
      </c>
      <c r="B7">
        <f>IFERROR(INDEX(Open!Y:Y,MATCH(A7,Open!Z:Z,0)),"")</f>
        <v>100201</v>
      </c>
    </row>
    <row r="8" spans="1:2" x14ac:dyDescent="0.3">
      <c r="A8" s="9" t="s">
        <v>310</v>
      </c>
      <c r="B8">
        <f>IFERROR(INDEX(Open!Y:Y,MATCH(A8,Open!Z:Z,0)),"")</f>
        <v>100231</v>
      </c>
    </row>
    <row r="9" spans="1:2" x14ac:dyDescent="0.3">
      <c r="A9" s="3" t="s">
        <v>314</v>
      </c>
      <c r="B9">
        <f>IFERROR(INDEX(Open!Y:Y,MATCH(A9,Open!Z:Z,0)),"")</f>
        <v>100241</v>
      </c>
    </row>
    <row r="10" spans="1:2" x14ac:dyDescent="0.3">
      <c r="A10" s="9" t="s">
        <v>318</v>
      </c>
      <c r="B10">
        <f>IFERROR(INDEX(Open!Y:Y,MATCH(A10,Open!Z:Z,0)),"")</f>
        <v>100271</v>
      </c>
    </row>
    <row r="11" spans="1:2" x14ac:dyDescent="0.3">
      <c r="A11" s="3" t="s">
        <v>322</v>
      </c>
      <c r="B11">
        <f>IFERROR(INDEX(Open!Y:Y,MATCH(A11,Open!Z:Z,0)),"")</f>
        <v>100281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4DF1C-0822-4B8A-88FF-33786E67F803}">
  <dimension ref="A3:C26"/>
  <sheetViews>
    <sheetView workbookViewId="0"/>
  </sheetViews>
  <sheetFormatPr defaultRowHeight="14.4" x14ac:dyDescent="0.3"/>
  <cols>
    <col min="1" max="1" width="17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14</v>
      </c>
      <c r="B3" t="s">
        <v>1048</v>
      </c>
      <c r="C3" t="s">
        <v>1049</v>
      </c>
    </row>
    <row r="4" spans="1:3" x14ac:dyDescent="0.3">
      <c r="A4" t="s">
        <v>664</v>
      </c>
      <c r="B4">
        <v>93</v>
      </c>
      <c r="C4" s="8">
        <v>1877704.23</v>
      </c>
    </row>
    <row r="5" spans="1:3" x14ac:dyDescent="0.3">
      <c r="A5" t="s">
        <v>1012</v>
      </c>
      <c r="B5">
        <v>1</v>
      </c>
      <c r="C5" s="8">
        <v>275961.17</v>
      </c>
    </row>
    <row r="6" spans="1:3" x14ac:dyDescent="0.3">
      <c r="A6" t="s">
        <v>1010</v>
      </c>
      <c r="B6">
        <v>1</v>
      </c>
      <c r="C6" s="8">
        <v>132189.06</v>
      </c>
    </row>
    <row r="7" spans="1:3" x14ac:dyDescent="0.3">
      <c r="A7" t="s">
        <v>89</v>
      </c>
      <c r="B7">
        <v>131</v>
      </c>
      <c r="C7" s="8">
        <v>98495.210000000021</v>
      </c>
    </row>
    <row r="8" spans="1:3" x14ac:dyDescent="0.3">
      <c r="A8" t="s">
        <v>404</v>
      </c>
      <c r="B8">
        <v>13</v>
      </c>
      <c r="C8" s="8">
        <v>56677.220000000008</v>
      </c>
    </row>
    <row r="9" spans="1:3" x14ac:dyDescent="0.3">
      <c r="A9" t="s">
        <v>1008</v>
      </c>
      <c r="B9">
        <v>24</v>
      </c>
      <c r="C9" s="8">
        <v>50960.97</v>
      </c>
    </row>
    <row r="10" spans="1:3" x14ac:dyDescent="0.3">
      <c r="A10" t="s">
        <v>928</v>
      </c>
      <c r="B10">
        <v>4</v>
      </c>
      <c r="C10" s="8">
        <v>44588.480000000003</v>
      </c>
    </row>
    <row r="11" spans="1:3" x14ac:dyDescent="0.3">
      <c r="A11" t="s">
        <v>1000</v>
      </c>
      <c r="B11">
        <v>2</v>
      </c>
      <c r="C11" s="8">
        <v>18804.150000000001</v>
      </c>
    </row>
    <row r="12" spans="1:3" x14ac:dyDescent="0.3">
      <c r="A12" t="s">
        <v>837</v>
      </c>
      <c r="B12">
        <v>19</v>
      </c>
      <c r="C12" s="8">
        <v>13503.54</v>
      </c>
    </row>
    <row r="13" spans="1:3" x14ac:dyDescent="0.3">
      <c r="A13" t="s">
        <v>1021</v>
      </c>
      <c r="B13">
        <v>1</v>
      </c>
      <c r="C13" s="8">
        <v>9917.3799999999992</v>
      </c>
    </row>
    <row r="14" spans="1:3" x14ac:dyDescent="0.3">
      <c r="A14" t="s">
        <v>1026</v>
      </c>
      <c r="B14">
        <v>1</v>
      </c>
      <c r="C14" s="8">
        <v>8568</v>
      </c>
    </row>
    <row r="15" spans="1:3" x14ac:dyDescent="0.3">
      <c r="A15" t="s">
        <v>1006</v>
      </c>
      <c r="B15">
        <v>1</v>
      </c>
      <c r="C15" s="8">
        <v>6052.86</v>
      </c>
    </row>
    <row r="16" spans="1:3" x14ac:dyDescent="0.3">
      <c r="A16" t="s">
        <v>1003</v>
      </c>
      <c r="B16">
        <v>1</v>
      </c>
      <c r="C16" s="8">
        <v>3407.98</v>
      </c>
    </row>
    <row r="17" spans="1:3" x14ac:dyDescent="0.3">
      <c r="A17" t="s">
        <v>1044</v>
      </c>
      <c r="B17">
        <v>1</v>
      </c>
      <c r="C17" s="8">
        <v>2000</v>
      </c>
    </row>
    <row r="18" spans="1:3" x14ac:dyDescent="0.3">
      <c r="A18" t="s">
        <v>1024</v>
      </c>
      <c r="B18">
        <v>1</v>
      </c>
      <c r="C18" s="8">
        <v>1883.67</v>
      </c>
    </row>
    <row r="19" spans="1:3" x14ac:dyDescent="0.3">
      <c r="A19" t="s">
        <v>998</v>
      </c>
      <c r="B19">
        <v>1</v>
      </c>
      <c r="C19" s="8">
        <v>1173.06</v>
      </c>
    </row>
    <row r="20" spans="1:3" x14ac:dyDescent="0.3">
      <c r="A20" t="s">
        <v>978</v>
      </c>
      <c r="B20">
        <v>2</v>
      </c>
      <c r="C20" s="8">
        <v>1028.52</v>
      </c>
    </row>
    <row r="21" spans="1:3" x14ac:dyDescent="0.3">
      <c r="A21" t="s">
        <v>917</v>
      </c>
      <c r="B21">
        <v>2</v>
      </c>
      <c r="C21" s="8">
        <v>635.31999999999994</v>
      </c>
    </row>
    <row r="22" spans="1:3" x14ac:dyDescent="0.3">
      <c r="A22" t="s">
        <v>1029</v>
      </c>
      <c r="B22">
        <v>1</v>
      </c>
      <c r="C22" s="8">
        <v>594.09</v>
      </c>
    </row>
    <row r="23" spans="1:3" x14ac:dyDescent="0.3">
      <c r="A23" t="s">
        <v>754</v>
      </c>
      <c r="B23">
        <v>1</v>
      </c>
      <c r="C23" s="8">
        <v>540</v>
      </c>
    </row>
    <row r="24" spans="1:3" x14ac:dyDescent="0.3">
      <c r="A24" t="s">
        <v>1018</v>
      </c>
      <c r="B24">
        <v>2</v>
      </c>
      <c r="C24" s="8">
        <v>428.78999999999996</v>
      </c>
    </row>
    <row r="25" spans="1:3" x14ac:dyDescent="0.3">
      <c r="A25" t="s">
        <v>829</v>
      </c>
      <c r="B25">
        <v>1</v>
      </c>
      <c r="C25" s="8">
        <v>100</v>
      </c>
    </row>
    <row r="26" spans="1:3" x14ac:dyDescent="0.3">
      <c r="A26" t="s">
        <v>1047</v>
      </c>
      <c r="B26">
        <v>304</v>
      </c>
      <c r="C26" s="8">
        <v>2605213.6999999993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F305"/>
  <sheetViews>
    <sheetView tabSelected="1" workbookViewId="0"/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  <col min="31" max="31" width="0" hidden="1" customWidth="1"/>
  </cols>
  <sheetData>
    <row r="1" spans="1:32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1045</v>
      </c>
      <c r="AF1" s="2" t="s">
        <v>1046</v>
      </c>
    </row>
    <row r="2" spans="1:32" x14ac:dyDescent="0.3">
      <c r="A2" s="3" t="s">
        <v>81</v>
      </c>
      <c r="B2" s="3" t="s">
        <v>82</v>
      </c>
      <c r="C2" s="3" t="s">
        <v>83</v>
      </c>
      <c r="D2" s="5">
        <v>44291</v>
      </c>
      <c r="E2" s="5">
        <v>44438</v>
      </c>
      <c r="F2" s="3" t="s">
        <v>30</v>
      </c>
      <c r="G2" s="3" t="s">
        <v>84</v>
      </c>
      <c r="H2" s="4">
        <v>1901</v>
      </c>
      <c r="I2" s="4">
        <v>3276391</v>
      </c>
      <c r="J2" s="3" t="s">
        <v>85</v>
      </c>
      <c r="K2" s="3" t="s">
        <v>86</v>
      </c>
      <c r="L2" s="3" t="s">
        <v>87</v>
      </c>
      <c r="M2" s="5">
        <v>44063</v>
      </c>
      <c r="N2" s="3" t="s">
        <v>88</v>
      </c>
      <c r="O2" s="3" t="s">
        <v>89</v>
      </c>
      <c r="P2" s="3" t="s">
        <v>36</v>
      </c>
      <c r="Q2" s="6">
        <v>18.43</v>
      </c>
      <c r="R2" s="6">
        <v>3992</v>
      </c>
      <c r="S2" s="5">
        <v>46195</v>
      </c>
      <c r="T2" s="3" t="s">
        <v>66</v>
      </c>
      <c r="U2" s="3" t="s">
        <v>79</v>
      </c>
      <c r="V2" s="3" t="s">
        <v>55</v>
      </c>
      <c r="W2" s="3" t="s">
        <v>32</v>
      </c>
      <c r="X2" s="3" t="s">
        <v>37</v>
      </c>
      <c r="Y2" s="3">
        <v>100111</v>
      </c>
      <c r="Z2" s="3" t="s">
        <v>90</v>
      </c>
      <c r="AA2" s="3">
        <v>100111</v>
      </c>
      <c r="AB2" s="3" t="s">
        <v>90</v>
      </c>
      <c r="AC2" s="4">
        <f ca="1">TODAY()-Open[[#This Row],[Status Date]]</f>
        <v>9</v>
      </c>
      <c r="AD2" s="3" t="s">
        <v>91</v>
      </c>
      <c r="AE2" t="str">
        <f t="shared" ref="AE2:AE65" si="0">AB2</f>
        <v>Andrew Ross</v>
      </c>
      <c r="AF2" t="s">
        <v>1051</v>
      </c>
    </row>
    <row r="3" spans="1:32" x14ac:dyDescent="0.3">
      <c r="A3" s="3" t="s">
        <v>81</v>
      </c>
      <c r="B3" s="3" t="s">
        <v>82</v>
      </c>
      <c r="C3" s="3" t="s">
        <v>83</v>
      </c>
      <c r="D3" s="5">
        <v>44366</v>
      </c>
      <c r="E3" s="5">
        <v>44481</v>
      </c>
      <c r="F3" s="3" t="s">
        <v>30</v>
      </c>
      <c r="G3" s="3" t="s">
        <v>84</v>
      </c>
      <c r="H3" s="4">
        <v>1826</v>
      </c>
      <c r="I3" s="4">
        <v>3321341</v>
      </c>
      <c r="J3" s="3" t="s">
        <v>95</v>
      </c>
      <c r="K3" s="3" t="s">
        <v>96</v>
      </c>
      <c r="L3" s="3" t="s">
        <v>97</v>
      </c>
      <c r="M3" s="5">
        <v>44344</v>
      </c>
      <c r="N3" s="3" t="s">
        <v>88</v>
      </c>
      <c r="O3" s="3" t="s">
        <v>89</v>
      </c>
      <c r="P3" s="3" t="s">
        <v>38</v>
      </c>
      <c r="Q3" s="6">
        <v>396.2</v>
      </c>
      <c r="R3" s="6">
        <v>396.2</v>
      </c>
      <c r="S3" s="5">
        <v>46195</v>
      </c>
      <c r="T3" s="3" t="s">
        <v>74</v>
      </c>
      <c r="U3" s="3" t="s">
        <v>75</v>
      </c>
      <c r="V3" s="3" t="s">
        <v>55</v>
      </c>
      <c r="W3" s="3" t="s">
        <v>32</v>
      </c>
      <c r="X3" s="3" t="s">
        <v>39</v>
      </c>
      <c r="Y3" s="3">
        <v>100131</v>
      </c>
      <c r="Z3" s="3" t="s">
        <v>98</v>
      </c>
      <c r="AA3" s="3">
        <v>100111</v>
      </c>
      <c r="AB3" s="3" t="s">
        <v>90</v>
      </c>
      <c r="AC3" s="4">
        <f ca="1">TODAY()-Open[[#This Row],[Status Date]]</f>
        <v>9</v>
      </c>
      <c r="AD3" s="3" t="s">
        <v>91</v>
      </c>
      <c r="AE3" t="str">
        <f t="shared" si="0"/>
        <v>Andrew Ross</v>
      </c>
      <c r="AF3" t="s">
        <v>1052</v>
      </c>
    </row>
    <row r="4" spans="1:32" x14ac:dyDescent="0.3">
      <c r="A4" s="3" t="s">
        <v>81</v>
      </c>
      <c r="B4" s="3" t="s">
        <v>82</v>
      </c>
      <c r="C4" s="3" t="s">
        <v>83</v>
      </c>
      <c r="D4" s="5">
        <v>44378</v>
      </c>
      <c r="E4" s="5">
        <v>44483</v>
      </c>
      <c r="F4" s="3" t="s">
        <v>30</v>
      </c>
      <c r="G4" s="3" t="s">
        <v>84</v>
      </c>
      <c r="H4" s="4">
        <v>1814</v>
      </c>
      <c r="I4" s="4">
        <v>3323191</v>
      </c>
      <c r="J4" s="3" t="s">
        <v>99</v>
      </c>
      <c r="K4" s="3" t="s">
        <v>100</v>
      </c>
      <c r="L4" s="3" t="s">
        <v>101</v>
      </c>
      <c r="M4" s="5">
        <v>44364</v>
      </c>
      <c r="N4" s="3" t="s">
        <v>88</v>
      </c>
      <c r="O4" s="3" t="s">
        <v>89</v>
      </c>
      <c r="P4" s="3" t="s">
        <v>38</v>
      </c>
      <c r="Q4" s="6">
        <v>1029.2</v>
      </c>
      <c r="R4" s="6">
        <v>1029.2</v>
      </c>
      <c r="S4" s="5">
        <v>46195</v>
      </c>
      <c r="T4" s="3" t="s">
        <v>74</v>
      </c>
      <c r="U4" s="3" t="s">
        <v>75</v>
      </c>
      <c r="V4" s="3" t="s">
        <v>55</v>
      </c>
      <c r="W4" s="3" t="s">
        <v>32</v>
      </c>
      <c r="X4" s="3" t="s">
        <v>39</v>
      </c>
      <c r="Y4" s="3">
        <v>100171</v>
      </c>
      <c r="Z4" s="3" t="s">
        <v>102</v>
      </c>
      <c r="AA4" s="3">
        <v>100121</v>
      </c>
      <c r="AB4" s="3" t="s">
        <v>103</v>
      </c>
      <c r="AC4" s="4">
        <f ca="1">TODAY()-Open[[#This Row],[Status Date]]</f>
        <v>9</v>
      </c>
      <c r="AD4" s="3" t="s">
        <v>91</v>
      </c>
      <c r="AE4" t="str">
        <f t="shared" si="0"/>
        <v>Olivia Jenkins</v>
      </c>
      <c r="AF4" t="s">
        <v>1052</v>
      </c>
    </row>
    <row r="5" spans="1:32" x14ac:dyDescent="0.3">
      <c r="A5" s="3" t="s">
        <v>81</v>
      </c>
      <c r="B5" s="3" t="s">
        <v>82</v>
      </c>
      <c r="C5" s="3" t="s">
        <v>83</v>
      </c>
      <c r="D5" s="5">
        <v>44392</v>
      </c>
      <c r="E5" s="5">
        <v>44469</v>
      </c>
      <c r="F5" s="3" t="s">
        <v>30</v>
      </c>
      <c r="G5" s="3" t="s">
        <v>84</v>
      </c>
      <c r="H5" s="4">
        <v>1800</v>
      </c>
      <c r="I5" s="4">
        <v>3332381</v>
      </c>
      <c r="J5" s="3" t="s">
        <v>104</v>
      </c>
      <c r="K5" s="3" t="s">
        <v>105</v>
      </c>
      <c r="L5" s="3" t="s">
        <v>106</v>
      </c>
      <c r="M5" s="5">
        <v>44377</v>
      </c>
      <c r="N5" s="3" t="s">
        <v>88</v>
      </c>
      <c r="O5" s="3" t="s">
        <v>89</v>
      </c>
      <c r="P5" s="3" t="s">
        <v>38</v>
      </c>
      <c r="Q5" s="6">
        <v>161.75</v>
      </c>
      <c r="R5" s="6">
        <v>161.75</v>
      </c>
      <c r="S5" s="5">
        <v>46195</v>
      </c>
      <c r="T5" s="3" t="s">
        <v>74</v>
      </c>
      <c r="U5" s="3" t="s">
        <v>75</v>
      </c>
      <c r="V5" s="3" t="s">
        <v>55</v>
      </c>
      <c r="W5" s="3" t="s">
        <v>32</v>
      </c>
      <c r="X5" s="3" t="s">
        <v>39</v>
      </c>
      <c r="Y5" s="3">
        <v>100211</v>
      </c>
      <c r="Z5" s="3" t="s">
        <v>107</v>
      </c>
      <c r="AA5" s="3">
        <v>100151</v>
      </c>
      <c r="AB5" s="3" t="s">
        <v>108</v>
      </c>
      <c r="AC5" s="4">
        <f ca="1">TODAY()-Open[[#This Row],[Status Date]]</f>
        <v>9</v>
      </c>
      <c r="AD5" s="3" t="s">
        <v>91</v>
      </c>
      <c r="AE5" t="str">
        <f t="shared" si="0"/>
        <v>Mason Reynolds</v>
      </c>
      <c r="AF5" t="s">
        <v>1052</v>
      </c>
    </row>
    <row r="6" spans="1:32" x14ac:dyDescent="0.3">
      <c r="A6" s="3" t="s">
        <v>81</v>
      </c>
      <c r="B6" s="3" t="s">
        <v>82</v>
      </c>
      <c r="C6" s="3" t="s">
        <v>83</v>
      </c>
      <c r="D6" s="5">
        <v>44456</v>
      </c>
      <c r="E6" s="5">
        <v>44830</v>
      </c>
      <c r="F6" s="3" t="s">
        <v>30</v>
      </c>
      <c r="G6" s="3" t="s">
        <v>84</v>
      </c>
      <c r="H6" s="4">
        <v>1736</v>
      </c>
      <c r="I6" s="4">
        <v>3411741</v>
      </c>
      <c r="J6" s="3" t="s">
        <v>109</v>
      </c>
      <c r="K6" s="3" t="s">
        <v>110</v>
      </c>
      <c r="L6" s="3" t="s">
        <v>111</v>
      </c>
      <c r="M6" s="5">
        <v>44404</v>
      </c>
      <c r="N6" s="3" t="s">
        <v>88</v>
      </c>
      <c r="O6" s="3" t="s">
        <v>89</v>
      </c>
      <c r="P6" s="3" t="s">
        <v>44</v>
      </c>
      <c r="Q6" s="6">
        <v>3.53</v>
      </c>
      <c r="R6" s="6">
        <v>3.53</v>
      </c>
      <c r="S6" s="5">
        <v>46195</v>
      </c>
      <c r="T6" s="3" t="s">
        <v>72</v>
      </c>
      <c r="U6" s="3" t="s">
        <v>112</v>
      </c>
      <c r="V6" s="3" t="s">
        <v>55</v>
      </c>
      <c r="W6" s="3" t="s">
        <v>32</v>
      </c>
      <c r="X6" s="3" t="s">
        <v>45</v>
      </c>
      <c r="Y6" s="3">
        <v>100101</v>
      </c>
      <c r="Z6" s="3" t="s">
        <v>113</v>
      </c>
      <c r="AA6" s="3">
        <v>100111</v>
      </c>
      <c r="AB6" s="3" t="s">
        <v>90</v>
      </c>
      <c r="AC6" s="4">
        <f ca="1">TODAY()-Open[[#This Row],[Status Date]]</f>
        <v>9</v>
      </c>
      <c r="AD6" s="3" t="s">
        <v>91</v>
      </c>
      <c r="AE6" t="str">
        <f t="shared" si="0"/>
        <v>Andrew Ross</v>
      </c>
      <c r="AF6" t="s">
        <v>1053</v>
      </c>
    </row>
    <row r="7" spans="1:32" x14ac:dyDescent="0.3">
      <c r="A7" s="3" t="s">
        <v>81</v>
      </c>
      <c r="B7" s="3" t="s">
        <v>82</v>
      </c>
      <c r="C7" s="3" t="s">
        <v>83</v>
      </c>
      <c r="D7" s="5">
        <v>44540</v>
      </c>
      <c r="E7" s="5">
        <v>44830</v>
      </c>
      <c r="F7" s="3" t="s">
        <v>30</v>
      </c>
      <c r="G7" s="3" t="s">
        <v>84</v>
      </c>
      <c r="H7" s="4">
        <v>1652</v>
      </c>
      <c r="I7" s="4">
        <v>3451681</v>
      </c>
      <c r="J7" s="3" t="s">
        <v>120</v>
      </c>
      <c r="K7" s="3" t="s">
        <v>121</v>
      </c>
      <c r="L7" s="3" t="s">
        <v>122</v>
      </c>
      <c r="M7" s="5">
        <v>44523</v>
      </c>
      <c r="N7" s="3" t="s">
        <v>88</v>
      </c>
      <c r="O7" s="3" t="s">
        <v>89</v>
      </c>
      <c r="P7" s="3" t="s">
        <v>44</v>
      </c>
      <c r="Q7" s="6">
        <v>0.47</v>
      </c>
      <c r="R7" s="6">
        <v>100</v>
      </c>
      <c r="S7" s="5">
        <v>46195</v>
      </c>
      <c r="T7" s="3" t="s">
        <v>72</v>
      </c>
      <c r="U7" s="3" t="s">
        <v>112</v>
      </c>
      <c r="V7" s="3" t="s">
        <v>55</v>
      </c>
      <c r="W7" s="3" t="s">
        <v>32</v>
      </c>
      <c r="X7" s="3" t="s">
        <v>45</v>
      </c>
      <c r="Y7" s="3">
        <v>100141</v>
      </c>
      <c r="Z7" s="3" t="s">
        <v>123</v>
      </c>
      <c r="AA7" s="3">
        <v>100121</v>
      </c>
      <c r="AB7" s="3" t="s">
        <v>103</v>
      </c>
      <c r="AC7" s="4">
        <f ca="1">TODAY()-Open[[#This Row],[Status Date]]</f>
        <v>9</v>
      </c>
      <c r="AD7" s="3" t="s">
        <v>91</v>
      </c>
      <c r="AE7" t="str">
        <f t="shared" si="0"/>
        <v>Olivia Jenkins</v>
      </c>
      <c r="AF7" t="s">
        <v>1053</v>
      </c>
    </row>
    <row r="8" spans="1:32" x14ac:dyDescent="0.3">
      <c r="A8" s="3" t="s">
        <v>81</v>
      </c>
      <c r="B8" s="3" t="s">
        <v>82</v>
      </c>
      <c r="C8" s="3" t="s">
        <v>83</v>
      </c>
      <c r="D8" s="5">
        <v>44559</v>
      </c>
      <c r="E8" s="5">
        <v>44830</v>
      </c>
      <c r="F8" s="3" t="s">
        <v>30</v>
      </c>
      <c r="G8" s="3" t="s">
        <v>84</v>
      </c>
      <c r="H8" s="4">
        <v>1633</v>
      </c>
      <c r="I8" s="4">
        <v>3458121</v>
      </c>
      <c r="J8" s="3" t="s">
        <v>124</v>
      </c>
      <c r="K8" s="3" t="s">
        <v>125</v>
      </c>
      <c r="L8" s="3" t="s">
        <v>126</v>
      </c>
      <c r="M8" s="5">
        <v>44545</v>
      </c>
      <c r="N8" s="3" t="s">
        <v>88</v>
      </c>
      <c r="O8" s="3" t="s">
        <v>89</v>
      </c>
      <c r="P8" s="3" t="s">
        <v>44</v>
      </c>
      <c r="Q8" s="6">
        <v>11.34</v>
      </c>
      <c r="R8" s="6">
        <v>1865</v>
      </c>
      <c r="S8" s="5">
        <v>46195</v>
      </c>
      <c r="T8" s="3" t="s">
        <v>72</v>
      </c>
      <c r="U8" s="3" t="s">
        <v>112</v>
      </c>
      <c r="V8" s="3" t="s">
        <v>55</v>
      </c>
      <c r="W8" s="3" t="s">
        <v>32</v>
      </c>
      <c r="X8" s="3" t="s">
        <v>45</v>
      </c>
      <c r="Y8" s="3">
        <v>100181</v>
      </c>
      <c r="Z8" s="3" t="s">
        <v>127</v>
      </c>
      <c r="AA8" s="3">
        <v>100151</v>
      </c>
      <c r="AB8" s="3" t="s">
        <v>108</v>
      </c>
      <c r="AC8" s="4">
        <f ca="1">TODAY()-Open[[#This Row],[Status Date]]</f>
        <v>9</v>
      </c>
      <c r="AD8" s="3" t="s">
        <v>91</v>
      </c>
      <c r="AE8" t="str">
        <f t="shared" si="0"/>
        <v>Mason Reynolds</v>
      </c>
      <c r="AF8" t="s">
        <v>1053</v>
      </c>
    </row>
    <row r="9" spans="1:32" x14ac:dyDescent="0.3">
      <c r="A9" s="3" t="s">
        <v>81</v>
      </c>
      <c r="B9" s="3" t="s">
        <v>82</v>
      </c>
      <c r="C9" s="3" t="s">
        <v>83</v>
      </c>
      <c r="D9" s="5">
        <v>44597</v>
      </c>
      <c r="E9" s="5">
        <v>44597</v>
      </c>
      <c r="F9" s="3" t="s">
        <v>30</v>
      </c>
      <c r="G9" s="3" t="s">
        <v>84</v>
      </c>
      <c r="H9" s="4">
        <v>1595</v>
      </c>
      <c r="I9" s="4">
        <v>3494891</v>
      </c>
      <c r="J9" s="3" t="s">
        <v>128</v>
      </c>
      <c r="K9" s="3" t="s">
        <v>129</v>
      </c>
      <c r="L9" s="3" t="s">
        <v>130</v>
      </c>
      <c r="M9" s="5">
        <v>44575</v>
      </c>
      <c r="N9" s="3" t="s">
        <v>88</v>
      </c>
      <c r="O9" s="3" t="s">
        <v>89</v>
      </c>
      <c r="P9" s="3" t="s">
        <v>44</v>
      </c>
      <c r="Q9" s="6">
        <v>159</v>
      </c>
      <c r="R9" s="6">
        <v>159</v>
      </c>
      <c r="S9" s="5">
        <v>46195</v>
      </c>
      <c r="T9" s="3" t="s">
        <v>72</v>
      </c>
      <c r="U9" s="3" t="s">
        <v>112</v>
      </c>
      <c r="V9" s="3" t="s">
        <v>55</v>
      </c>
      <c r="W9" s="3" t="s">
        <v>32</v>
      </c>
      <c r="X9" s="3" t="s">
        <v>45</v>
      </c>
      <c r="Y9" s="3">
        <v>100221</v>
      </c>
      <c r="Z9" s="3" t="s">
        <v>131</v>
      </c>
      <c r="AA9" s="3">
        <v>100161</v>
      </c>
      <c r="AB9" s="3" t="s">
        <v>132</v>
      </c>
      <c r="AC9" s="4">
        <f ca="1">TODAY()-Open[[#This Row],[Status Date]]</f>
        <v>9</v>
      </c>
      <c r="AD9" s="3" t="s">
        <v>91</v>
      </c>
      <c r="AE9" t="str">
        <f t="shared" si="0"/>
        <v>Connor Bishop</v>
      </c>
      <c r="AF9" t="s">
        <v>1053</v>
      </c>
    </row>
    <row r="10" spans="1:32" x14ac:dyDescent="0.3">
      <c r="A10" s="3" t="s">
        <v>81</v>
      </c>
      <c r="B10" s="3" t="s">
        <v>82</v>
      </c>
      <c r="C10" s="3" t="s">
        <v>83</v>
      </c>
      <c r="D10" s="5">
        <v>44630</v>
      </c>
      <c r="E10" s="5">
        <v>44714</v>
      </c>
      <c r="F10" s="3" t="s">
        <v>30</v>
      </c>
      <c r="G10" s="3" t="s">
        <v>84</v>
      </c>
      <c r="H10" s="4">
        <v>1562</v>
      </c>
      <c r="I10" s="4">
        <v>3507341</v>
      </c>
      <c r="J10" s="3" t="s">
        <v>133</v>
      </c>
      <c r="K10" s="3" t="s">
        <v>134</v>
      </c>
      <c r="L10" s="3" t="s">
        <v>135</v>
      </c>
      <c r="M10" s="5">
        <v>44617</v>
      </c>
      <c r="N10" s="3" t="s">
        <v>88</v>
      </c>
      <c r="O10" s="3" t="s">
        <v>89</v>
      </c>
      <c r="P10" s="3" t="s">
        <v>44</v>
      </c>
      <c r="Q10" s="6">
        <v>273.39</v>
      </c>
      <c r="R10" s="6">
        <v>27835</v>
      </c>
      <c r="S10" s="5">
        <v>46195</v>
      </c>
      <c r="T10" s="3" t="s">
        <v>72</v>
      </c>
      <c r="U10" s="3" t="s">
        <v>112</v>
      </c>
      <c r="V10" s="3" t="s">
        <v>55</v>
      </c>
      <c r="W10" s="3" t="s">
        <v>32</v>
      </c>
      <c r="X10" s="3" t="s">
        <v>45</v>
      </c>
      <c r="Y10" s="3">
        <v>100261</v>
      </c>
      <c r="Z10" s="3" t="s">
        <v>136</v>
      </c>
      <c r="AA10" s="3">
        <v>100191</v>
      </c>
      <c r="AB10" s="3" t="s">
        <v>137</v>
      </c>
      <c r="AC10" s="4">
        <f ca="1">TODAY()-Open[[#This Row],[Status Date]]</f>
        <v>9</v>
      </c>
      <c r="AD10" s="3" t="s">
        <v>91</v>
      </c>
      <c r="AE10" t="str">
        <f t="shared" si="0"/>
        <v>Dominic Flores</v>
      </c>
      <c r="AF10" t="s">
        <v>1053</v>
      </c>
    </row>
    <row r="11" spans="1:32" x14ac:dyDescent="0.3">
      <c r="A11" s="3" t="s">
        <v>81</v>
      </c>
      <c r="B11" s="3" t="s">
        <v>82</v>
      </c>
      <c r="C11" s="3" t="s">
        <v>83</v>
      </c>
      <c r="D11" s="5">
        <v>44672</v>
      </c>
      <c r="E11" s="5">
        <v>44672</v>
      </c>
      <c r="F11" s="3" t="s">
        <v>30</v>
      </c>
      <c r="G11" s="3" t="s">
        <v>84</v>
      </c>
      <c r="H11" s="4">
        <v>1520</v>
      </c>
      <c r="I11" s="4">
        <v>3543041</v>
      </c>
      <c r="J11" s="3" t="s">
        <v>138</v>
      </c>
      <c r="K11" s="3" t="s">
        <v>139</v>
      </c>
      <c r="L11" s="3" t="s">
        <v>140</v>
      </c>
      <c r="M11" s="5">
        <v>44658</v>
      </c>
      <c r="N11" s="3" t="s">
        <v>88</v>
      </c>
      <c r="O11" s="3" t="s">
        <v>89</v>
      </c>
      <c r="P11" s="3" t="s">
        <v>44</v>
      </c>
      <c r="Q11" s="6">
        <v>1865</v>
      </c>
      <c r="R11" s="6">
        <v>1865</v>
      </c>
      <c r="S11" s="5">
        <v>46195</v>
      </c>
      <c r="T11" s="3" t="s">
        <v>72</v>
      </c>
      <c r="U11" s="3" t="s">
        <v>112</v>
      </c>
      <c r="V11" s="3" t="s">
        <v>55</v>
      </c>
      <c r="W11" s="3" t="s">
        <v>32</v>
      </c>
      <c r="X11" s="3" t="s">
        <v>45</v>
      </c>
      <c r="Y11" s="3">
        <v>100101</v>
      </c>
      <c r="Z11" s="3" t="s">
        <v>113</v>
      </c>
      <c r="AA11" s="3">
        <v>100111</v>
      </c>
      <c r="AB11" s="3" t="s">
        <v>90</v>
      </c>
      <c r="AC11" s="4">
        <f ca="1">TODAY()-Open[[#This Row],[Status Date]]</f>
        <v>9</v>
      </c>
      <c r="AD11" s="3" t="s">
        <v>91</v>
      </c>
      <c r="AE11" t="str">
        <f t="shared" si="0"/>
        <v>Andrew Ross</v>
      </c>
      <c r="AF11" t="s">
        <v>1053</v>
      </c>
    </row>
    <row r="12" spans="1:32" x14ac:dyDescent="0.3">
      <c r="A12" s="3" t="s">
        <v>81</v>
      </c>
      <c r="B12" s="3" t="s">
        <v>82</v>
      </c>
      <c r="C12" s="3" t="s">
        <v>83</v>
      </c>
      <c r="D12" s="5">
        <v>44701</v>
      </c>
      <c r="E12" s="5">
        <v>44701</v>
      </c>
      <c r="F12" s="3" t="s">
        <v>30</v>
      </c>
      <c r="G12" s="3" t="s">
        <v>84</v>
      </c>
      <c r="H12" s="4">
        <v>1491</v>
      </c>
      <c r="I12" s="4">
        <v>3565881</v>
      </c>
      <c r="J12" s="3" t="s">
        <v>141</v>
      </c>
      <c r="K12" s="3" t="s">
        <v>142</v>
      </c>
      <c r="L12" s="3" t="s">
        <v>143</v>
      </c>
      <c r="M12" s="5">
        <v>44692</v>
      </c>
      <c r="N12" s="3" t="s">
        <v>88</v>
      </c>
      <c r="O12" s="3" t="s">
        <v>89</v>
      </c>
      <c r="P12" s="3" t="s">
        <v>44</v>
      </c>
      <c r="Q12" s="6">
        <v>150</v>
      </c>
      <c r="R12" s="6">
        <v>150</v>
      </c>
      <c r="S12" s="5">
        <v>46195</v>
      </c>
      <c r="T12" s="3" t="s">
        <v>72</v>
      </c>
      <c r="U12" s="3" t="s">
        <v>112</v>
      </c>
      <c r="V12" s="3" t="s">
        <v>55</v>
      </c>
      <c r="W12" s="3" t="s">
        <v>32</v>
      </c>
      <c r="X12" s="3" t="s">
        <v>45</v>
      </c>
      <c r="Y12" s="3">
        <v>100141</v>
      </c>
      <c r="Z12" s="3" t="s">
        <v>123</v>
      </c>
      <c r="AA12" s="3">
        <v>100121</v>
      </c>
      <c r="AB12" s="3" t="s">
        <v>103</v>
      </c>
      <c r="AC12" s="4">
        <f ca="1">TODAY()-Open[[#This Row],[Status Date]]</f>
        <v>9</v>
      </c>
      <c r="AD12" s="3" t="s">
        <v>91</v>
      </c>
      <c r="AE12" t="str">
        <f t="shared" si="0"/>
        <v>Olivia Jenkins</v>
      </c>
      <c r="AF12" t="s">
        <v>1053</v>
      </c>
    </row>
    <row r="13" spans="1:32" x14ac:dyDescent="0.3">
      <c r="A13" s="3" t="s">
        <v>81</v>
      </c>
      <c r="B13" s="3" t="s">
        <v>82</v>
      </c>
      <c r="C13" s="3" t="s">
        <v>83</v>
      </c>
      <c r="D13" s="5">
        <v>44701</v>
      </c>
      <c r="E13" s="5">
        <v>44702</v>
      </c>
      <c r="F13" s="3" t="s">
        <v>30</v>
      </c>
      <c r="G13" s="3" t="s">
        <v>84</v>
      </c>
      <c r="H13" s="4">
        <v>1491</v>
      </c>
      <c r="I13" s="4">
        <v>3570371</v>
      </c>
      <c r="J13" s="3" t="s">
        <v>144</v>
      </c>
      <c r="K13" s="3" t="s">
        <v>145</v>
      </c>
      <c r="L13" s="3" t="s">
        <v>146</v>
      </c>
      <c r="M13" s="5">
        <v>44694</v>
      </c>
      <c r="N13" s="3" t="s">
        <v>88</v>
      </c>
      <c r="O13" s="3" t="s">
        <v>89</v>
      </c>
      <c r="P13" s="3" t="s">
        <v>44</v>
      </c>
      <c r="Q13" s="6">
        <v>330.16</v>
      </c>
      <c r="R13" s="6">
        <v>330.16</v>
      </c>
      <c r="S13" s="5">
        <v>46195</v>
      </c>
      <c r="T13" s="3" t="s">
        <v>72</v>
      </c>
      <c r="U13" s="3" t="s">
        <v>112</v>
      </c>
      <c r="V13" s="3" t="s">
        <v>55</v>
      </c>
      <c r="W13" s="3" t="s">
        <v>32</v>
      </c>
      <c r="X13" s="3" t="s">
        <v>45</v>
      </c>
      <c r="Y13" s="3">
        <v>100181</v>
      </c>
      <c r="Z13" s="3" t="s">
        <v>127</v>
      </c>
      <c r="AA13" s="3">
        <v>100151</v>
      </c>
      <c r="AB13" s="3" t="s">
        <v>108</v>
      </c>
      <c r="AC13" s="4">
        <f ca="1">TODAY()-Open[[#This Row],[Status Date]]</f>
        <v>9</v>
      </c>
      <c r="AD13" s="3" t="s">
        <v>91</v>
      </c>
      <c r="AE13" t="str">
        <f t="shared" si="0"/>
        <v>Mason Reynolds</v>
      </c>
      <c r="AF13" t="s">
        <v>1053</v>
      </c>
    </row>
    <row r="14" spans="1:32" x14ac:dyDescent="0.3">
      <c r="A14" s="3" t="s">
        <v>81</v>
      </c>
      <c r="B14" s="3" t="s">
        <v>82</v>
      </c>
      <c r="C14" s="3" t="s">
        <v>83</v>
      </c>
      <c r="D14" s="5">
        <v>44721</v>
      </c>
      <c r="E14" s="5">
        <v>44792</v>
      </c>
      <c r="F14" s="3" t="s">
        <v>30</v>
      </c>
      <c r="G14" s="3" t="s">
        <v>84</v>
      </c>
      <c r="H14" s="4">
        <v>1471</v>
      </c>
      <c r="I14" s="4">
        <v>3603501</v>
      </c>
      <c r="J14" s="3" t="s">
        <v>147</v>
      </c>
      <c r="K14" s="3" t="s">
        <v>148</v>
      </c>
      <c r="L14" s="3" t="s">
        <v>149</v>
      </c>
      <c r="M14" s="5">
        <v>44704</v>
      </c>
      <c r="N14" s="3" t="s">
        <v>88</v>
      </c>
      <c r="O14" s="3" t="s">
        <v>89</v>
      </c>
      <c r="P14" s="3" t="s">
        <v>44</v>
      </c>
      <c r="Q14" s="6">
        <v>1345.89</v>
      </c>
      <c r="R14" s="6">
        <v>3971.04</v>
      </c>
      <c r="S14" s="5">
        <v>46195</v>
      </c>
      <c r="T14" s="3" t="s">
        <v>72</v>
      </c>
      <c r="U14" s="3" t="s">
        <v>112</v>
      </c>
      <c r="V14" s="3" t="s">
        <v>55</v>
      </c>
      <c r="W14" s="3" t="s">
        <v>32</v>
      </c>
      <c r="X14" s="3" t="s">
        <v>45</v>
      </c>
      <c r="Y14" s="3">
        <v>100221</v>
      </c>
      <c r="Z14" s="3" t="s">
        <v>131</v>
      </c>
      <c r="AA14" s="3">
        <v>100161</v>
      </c>
      <c r="AB14" s="3" t="s">
        <v>132</v>
      </c>
      <c r="AC14" s="4">
        <f ca="1">TODAY()-Open[[#This Row],[Status Date]]</f>
        <v>9</v>
      </c>
      <c r="AD14" s="3" t="s">
        <v>91</v>
      </c>
      <c r="AE14" t="str">
        <f t="shared" si="0"/>
        <v>Connor Bishop</v>
      </c>
      <c r="AF14" t="s">
        <v>1053</v>
      </c>
    </row>
    <row r="15" spans="1:32" x14ac:dyDescent="0.3">
      <c r="A15" s="3" t="s">
        <v>81</v>
      </c>
      <c r="B15" s="3" t="s">
        <v>82</v>
      </c>
      <c r="C15" s="3" t="s">
        <v>83</v>
      </c>
      <c r="D15" s="5">
        <v>44790</v>
      </c>
      <c r="E15" s="5">
        <v>45275</v>
      </c>
      <c r="F15" s="3" t="s">
        <v>30</v>
      </c>
      <c r="G15" s="3" t="s">
        <v>84</v>
      </c>
      <c r="H15" s="4">
        <v>1402</v>
      </c>
      <c r="I15" s="4">
        <v>3659321</v>
      </c>
      <c r="J15" s="3" t="s">
        <v>150</v>
      </c>
      <c r="K15" s="3" t="s">
        <v>151</v>
      </c>
      <c r="L15" s="3" t="s">
        <v>152</v>
      </c>
      <c r="M15" s="5">
        <v>44789</v>
      </c>
      <c r="N15" s="3" t="s">
        <v>88</v>
      </c>
      <c r="O15" s="3" t="s">
        <v>89</v>
      </c>
      <c r="P15" s="3" t="s">
        <v>51</v>
      </c>
      <c r="Q15" s="6">
        <v>498.15</v>
      </c>
      <c r="R15" s="6">
        <v>498.15</v>
      </c>
      <c r="S15" s="5">
        <v>46195</v>
      </c>
      <c r="T15" s="3" t="s">
        <v>72</v>
      </c>
      <c r="U15" s="3" t="s">
        <v>112</v>
      </c>
      <c r="V15" s="3" t="s">
        <v>55</v>
      </c>
      <c r="W15" s="3" t="s">
        <v>32</v>
      </c>
      <c r="X15" s="3" t="s">
        <v>52</v>
      </c>
      <c r="Y15" s="3">
        <v>100261</v>
      </c>
      <c r="Z15" s="3" t="s">
        <v>136</v>
      </c>
      <c r="AA15" s="3">
        <v>100191</v>
      </c>
      <c r="AB15" s="3" t="s">
        <v>137</v>
      </c>
      <c r="AC15" s="4">
        <f ca="1">TODAY()-Open[[#This Row],[Status Date]]</f>
        <v>9</v>
      </c>
      <c r="AD15" s="3" t="s">
        <v>91</v>
      </c>
      <c r="AE15" t="str">
        <f t="shared" si="0"/>
        <v>Dominic Flores</v>
      </c>
      <c r="AF15" t="s">
        <v>1054</v>
      </c>
    </row>
    <row r="16" spans="1:32" x14ac:dyDescent="0.3">
      <c r="A16" s="3" t="s">
        <v>81</v>
      </c>
      <c r="B16" s="3" t="s">
        <v>82</v>
      </c>
      <c r="C16" s="3" t="s">
        <v>83</v>
      </c>
      <c r="D16" s="5">
        <v>44811</v>
      </c>
      <c r="E16" s="5">
        <v>44974</v>
      </c>
      <c r="F16" s="3" t="s">
        <v>30</v>
      </c>
      <c r="G16" s="3" t="s">
        <v>84</v>
      </c>
      <c r="H16" s="4">
        <v>1381</v>
      </c>
      <c r="I16" s="4">
        <v>3673421</v>
      </c>
      <c r="J16" s="3" t="s">
        <v>153</v>
      </c>
      <c r="K16" s="3" t="s">
        <v>154</v>
      </c>
      <c r="L16" s="3" t="s">
        <v>155</v>
      </c>
      <c r="M16" s="5">
        <v>44771</v>
      </c>
      <c r="N16" s="3" t="s">
        <v>88</v>
      </c>
      <c r="O16" s="3" t="s">
        <v>89</v>
      </c>
      <c r="P16" s="3" t="s">
        <v>34</v>
      </c>
      <c r="Q16" s="6">
        <v>150</v>
      </c>
      <c r="R16" s="6">
        <v>150</v>
      </c>
      <c r="S16" s="5">
        <v>46195</v>
      </c>
      <c r="T16" s="3" t="s">
        <v>66</v>
      </c>
      <c r="U16" s="3" t="s">
        <v>79</v>
      </c>
      <c r="V16" s="3" t="s">
        <v>55</v>
      </c>
      <c r="W16" s="3" t="s">
        <v>32</v>
      </c>
      <c r="X16" s="3" t="s">
        <v>35</v>
      </c>
      <c r="Y16" s="3">
        <v>100121</v>
      </c>
      <c r="Z16" s="3" t="s">
        <v>103</v>
      </c>
      <c r="AA16" s="3">
        <v>100121</v>
      </c>
      <c r="AB16" s="3" t="s">
        <v>103</v>
      </c>
      <c r="AC16" s="4">
        <f ca="1">TODAY()-Open[[#This Row],[Status Date]]</f>
        <v>9</v>
      </c>
      <c r="AD16" s="3" t="s">
        <v>91</v>
      </c>
      <c r="AE16" t="str">
        <f t="shared" si="0"/>
        <v>Olivia Jenkins</v>
      </c>
      <c r="AF16" t="s">
        <v>1055</v>
      </c>
    </row>
    <row r="17" spans="1:32" x14ac:dyDescent="0.3">
      <c r="A17" s="3" t="s">
        <v>81</v>
      </c>
      <c r="B17" s="3" t="s">
        <v>82</v>
      </c>
      <c r="C17" s="3" t="s">
        <v>83</v>
      </c>
      <c r="D17" s="5">
        <v>44813</v>
      </c>
      <c r="E17" s="5">
        <v>44889</v>
      </c>
      <c r="F17" s="3" t="s">
        <v>30</v>
      </c>
      <c r="G17" s="3" t="s">
        <v>84</v>
      </c>
      <c r="H17" s="4">
        <v>1379</v>
      </c>
      <c r="I17" s="4">
        <v>3705781</v>
      </c>
      <c r="J17" s="3" t="s">
        <v>156</v>
      </c>
      <c r="K17" s="3" t="s">
        <v>157</v>
      </c>
      <c r="L17" s="3" t="s">
        <v>158</v>
      </c>
      <c r="M17" s="5">
        <v>44796</v>
      </c>
      <c r="N17" s="3" t="s">
        <v>88</v>
      </c>
      <c r="O17" s="3" t="s">
        <v>89</v>
      </c>
      <c r="P17" s="3" t="s">
        <v>44</v>
      </c>
      <c r="Q17" s="6">
        <v>1.35</v>
      </c>
      <c r="R17" s="6">
        <v>219</v>
      </c>
      <c r="S17" s="5">
        <v>46195</v>
      </c>
      <c r="T17" s="3" t="s">
        <v>72</v>
      </c>
      <c r="U17" s="3" t="s">
        <v>112</v>
      </c>
      <c r="V17" s="3" t="s">
        <v>55</v>
      </c>
      <c r="W17" s="3" t="s">
        <v>32</v>
      </c>
      <c r="X17" s="3" t="s">
        <v>45</v>
      </c>
      <c r="Y17" s="3">
        <v>100101</v>
      </c>
      <c r="Z17" s="3" t="s">
        <v>113</v>
      </c>
      <c r="AA17" s="3">
        <v>100111</v>
      </c>
      <c r="AB17" s="3" t="s">
        <v>90</v>
      </c>
      <c r="AC17" s="4">
        <f ca="1">TODAY()-Open[[#This Row],[Status Date]]</f>
        <v>9</v>
      </c>
      <c r="AD17" s="3" t="s">
        <v>91</v>
      </c>
      <c r="AE17" t="str">
        <f t="shared" si="0"/>
        <v>Andrew Ross</v>
      </c>
      <c r="AF17" t="s">
        <v>1053</v>
      </c>
    </row>
    <row r="18" spans="1:32" x14ac:dyDescent="0.3">
      <c r="A18" s="3" t="s">
        <v>81</v>
      </c>
      <c r="B18" s="3" t="s">
        <v>82</v>
      </c>
      <c r="C18" s="3" t="s">
        <v>83</v>
      </c>
      <c r="D18" s="5">
        <v>44814</v>
      </c>
      <c r="E18" s="5">
        <v>44853</v>
      </c>
      <c r="F18" s="3" t="s">
        <v>30</v>
      </c>
      <c r="G18" s="3" t="s">
        <v>84</v>
      </c>
      <c r="H18" s="4">
        <v>1378</v>
      </c>
      <c r="I18" s="4">
        <v>3706571</v>
      </c>
      <c r="J18" s="3" t="s">
        <v>159</v>
      </c>
      <c r="K18" s="3" t="s">
        <v>160</v>
      </c>
      <c r="L18" s="3" t="s">
        <v>161</v>
      </c>
      <c r="M18" s="5">
        <v>44802</v>
      </c>
      <c r="N18" s="3" t="s">
        <v>88</v>
      </c>
      <c r="O18" s="3" t="s">
        <v>89</v>
      </c>
      <c r="P18" s="3" t="s">
        <v>44</v>
      </c>
      <c r="Q18" s="6">
        <v>25.32</v>
      </c>
      <c r="R18" s="6">
        <v>2593.17</v>
      </c>
      <c r="S18" s="5">
        <v>46195</v>
      </c>
      <c r="T18" s="3" t="s">
        <v>72</v>
      </c>
      <c r="U18" s="3" t="s">
        <v>112</v>
      </c>
      <c r="V18" s="3" t="s">
        <v>55</v>
      </c>
      <c r="W18" s="3" t="s">
        <v>32</v>
      </c>
      <c r="X18" s="3" t="s">
        <v>45</v>
      </c>
      <c r="Y18" s="3">
        <v>100141</v>
      </c>
      <c r="Z18" s="3" t="s">
        <v>123</v>
      </c>
      <c r="AA18" s="3">
        <v>100121</v>
      </c>
      <c r="AB18" s="3" t="s">
        <v>103</v>
      </c>
      <c r="AC18" s="4">
        <f ca="1">TODAY()-Open[[#This Row],[Status Date]]</f>
        <v>9</v>
      </c>
      <c r="AD18" s="3" t="s">
        <v>91</v>
      </c>
      <c r="AE18" t="str">
        <f t="shared" si="0"/>
        <v>Olivia Jenkins</v>
      </c>
      <c r="AF18" t="s">
        <v>1053</v>
      </c>
    </row>
    <row r="19" spans="1:32" x14ac:dyDescent="0.3">
      <c r="A19" s="3" t="s">
        <v>81</v>
      </c>
      <c r="B19" s="3" t="s">
        <v>82</v>
      </c>
      <c r="C19" s="3" t="s">
        <v>83</v>
      </c>
      <c r="D19" s="5">
        <v>44873</v>
      </c>
      <c r="E19" s="5">
        <v>44875</v>
      </c>
      <c r="F19" s="3" t="s">
        <v>30</v>
      </c>
      <c r="G19" s="3" t="s">
        <v>84</v>
      </c>
      <c r="H19" s="4">
        <v>1319</v>
      </c>
      <c r="I19" s="4">
        <v>3753181</v>
      </c>
      <c r="J19" s="3" t="s">
        <v>162</v>
      </c>
      <c r="K19" s="3" t="s">
        <v>163</v>
      </c>
      <c r="L19" s="3" t="s">
        <v>164</v>
      </c>
      <c r="M19" s="5">
        <v>44854</v>
      </c>
      <c r="N19" s="3" t="s">
        <v>88</v>
      </c>
      <c r="O19" s="3" t="s">
        <v>89</v>
      </c>
      <c r="P19" s="3" t="s">
        <v>51</v>
      </c>
      <c r="Q19" s="6">
        <v>1034.6099999999999</v>
      </c>
      <c r="R19" s="6">
        <v>1034.6099999999999</v>
      </c>
      <c r="S19" s="5">
        <v>46195</v>
      </c>
      <c r="T19" s="3" t="s">
        <v>72</v>
      </c>
      <c r="U19" s="3" t="s">
        <v>112</v>
      </c>
      <c r="V19" s="3" t="s">
        <v>55</v>
      </c>
      <c r="W19" s="3" t="s">
        <v>32</v>
      </c>
      <c r="X19" s="3" t="s">
        <v>52</v>
      </c>
      <c r="Y19" s="3">
        <v>100181</v>
      </c>
      <c r="Z19" s="3" t="s">
        <v>127</v>
      </c>
      <c r="AA19" s="3">
        <v>100151</v>
      </c>
      <c r="AB19" s="3" t="s">
        <v>108</v>
      </c>
      <c r="AC19" s="4">
        <f ca="1">TODAY()-Open[[#This Row],[Status Date]]</f>
        <v>9</v>
      </c>
      <c r="AD19" s="3" t="s">
        <v>91</v>
      </c>
      <c r="AE19" t="str">
        <f t="shared" si="0"/>
        <v>Mason Reynolds</v>
      </c>
      <c r="AF19" t="s">
        <v>1054</v>
      </c>
    </row>
    <row r="20" spans="1:32" x14ac:dyDescent="0.3">
      <c r="A20" s="3" t="s">
        <v>81</v>
      </c>
      <c r="B20" s="3" t="s">
        <v>82</v>
      </c>
      <c r="C20" s="3" t="s">
        <v>83</v>
      </c>
      <c r="D20" s="5">
        <v>44883</v>
      </c>
      <c r="E20" s="5">
        <v>44883</v>
      </c>
      <c r="F20" s="3" t="s">
        <v>30</v>
      </c>
      <c r="G20" s="3" t="s">
        <v>84</v>
      </c>
      <c r="H20" s="4">
        <v>1309</v>
      </c>
      <c r="I20" s="4">
        <v>3764479</v>
      </c>
      <c r="J20" s="3" t="s">
        <v>165</v>
      </c>
      <c r="K20" s="3" t="s">
        <v>166</v>
      </c>
      <c r="L20" s="3" t="s">
        <v>167</v>
      </c>
      <c r="M20" s="5">
        <v>44867</v>
      </c>
      <c r="N20" s="3" t="s">
        <v>88</v>
      </c>
      <c r="O20" s="3" t="s">
        <v>89</v>
      </c>
      <c r="P20" s="3" t="s">
        <v>51</v>
      </c>
      <c r="Q20" s="6">
        <v>888.77</v>
      </c>
      <c r="R20" s="6">
        <v>888.77</v>
      </c>
      <c r="S20" s="5">
        <v>46195</v>
      </c>
      <c r="T20" s="3" t="s">
        <v>72</v>
      </c>
      <c r="U20" s="3" t="s">
        <v>112</v>
      </c>
      <c r="V20" s="3" t="s">
        <v>55</v>
      </c>
      <c r="W20" s="3" t="s">
        <v>32</v>
      </c>
      <c r="X20" s="3" t="s">
        <v>52</v>
      </c>
      <c r="Y20" s="3">
        <v>100221</v>
      </c>
      <c r="Z20" s="3" t="s">
        <v>131</v>
      </c>
      <c r="AA20" s="3">
        <v>100161</v>
      </c>
      <c r="AB20" s="3" t="s">
        <v>132</v>
      </c>
      <c r="AC20" s="4">
        <f ca="1">TODAY()-Open[[#This Row],[Status Date]]</f>
        <v>9</v>
      </c>
      <c r="AD20" s="3" t="s">
        <v>91</v>
      </c>
      <c r="AE20" t="str">
        <f t="shared" si="0"/>
        <v>Connor Bishop</v>
      </c>
      <c r="AF20" t="s">
        <v>1054</v>
      </c>
    </row>
    <row r="21" spans="1:32" x14ac:dyDescent="0.3">
      <c r="A21" s="3" t="s">
        <v>81</v>
      </c>
      <c r="B21" s="3" t="s">
        <v>82</v>
      </c>
      <c r="C21" s="3" t="s">
        <v>83</v>
      </c>
      <c r="D21" s="5">
        <v>44883</v>
      </c>
      <c r="E21" s="5">
        <v>44883</v>
      </c>
      <c r="F21" s="3" t="s">
        <v>30</v>
      </c>
      <c r="G21" s="3" t="s">
        <v>84</v>
      </c>
      <c r="H21" s="4">
        <v>1309</v>
      </c>
      <c r="I21" s="4">
        <v>3767809</v>
      </c>
      <c r="J21" s="3" t="s">
        <v>168</v>
      </c>
      <c r="K21" s="3" t="s">
        <v>169</v>
      </c>
      <c r="L21" s="3" t="s">
        <v>170</v>
      </c>
      <c r="M21" s="5">
        <v>44867</v>
      </c>
      <c r="N21" s="3" t="s">
        <v>88</v>
      </c>
      <c r="O21" s="3" t="s">
        <v>89</v>
      </c>
      <c r="P21" s="3" t="s">
        <v>51</v>
      </c>
      <c r="Q21" s="6">
        <v>888.77</v>
      </c>
      <c r="R21" s="6">
        <v>888.77</v>
      </c>
      <c r="S21" s="5">
        <v>46195</v>
      </c>
      <c r="T21" s="3" t="s">
        <v>72</v>
      </c>
      <c r="U21" s="3" t="s">
        <v>112</v>
      </c>
      <c r="V21" s="3" t="s">
        <v>55</v>
      </c>
      <c r="W21" s="3" t="s">
        <v>32</v>
      </c>
      <c r="X21" s="3" t="s">
        <v>52</v>
      </c>
      <c r="Y21" s="3">
        <v>100261</v>
      </c>
      <c r="Z21" s="3" t="s">
        <v>136</v>
      </c>
      <c r="AA21" s="3">
        <v>100191</v>
      </c>
      <c r="AB21" s="3" t="s">
        <v>137</v>
      </c>
      <c r="AC21" s="4">
        <f ca="1">TODAY()-Open[[#This Row],[Status Date]]</f>
        <v>9</v>
      </c>
      <c r="AD21" s="3" t="s">
        <v>91</v>
      </c>
      <c r="AE21" t="str">
        <f t="shared" si="0"/>
        <v>Dominic Flores</v>
      </c>
      <c r="AF21" t="s">
        <v>1054</v>
      </c>
    </row>
    <row r="22" spans="1:32" x14ac:dyDescent="0.3">
      <c r="A22" s="3" t="s">
        <v>81</v>
      </c>
      <c r="B22" s="3" t="s">
        <v>82</v>
      </c>
      <c r="C22" s="3" t="s">
        <v>83</v>
      </c>
      <c r="D22" s="5">
        <v>44883</v>
      </c>
      <c r="E22" s="5">
        <v>44883</v>
      </c>
      <c r="F22" s="3" t="s">
        <v>30</v>
      </c>
      <c r="G22" s="3" t="s">
        <v>84</v>
      </c>
      <c r="H22" s="4">
        <v>1309</v>
      </c>
      <c r="I22" s="4">
        <v>3773659</v>
      </c>
      <c r="J22" s="3" t="s">
        <v>171</v>
      </c>
      <c r="K22" s="3" t="s">
        <v>172</v>
      </c>
      <c r="L22" s="3" t="s">
        <v>173</v>
      </c>
      <c r="M22" s="5">
        <v>44867</v>
      </c>
      <c r="N22" s="3" t="s">
        <v>88</v>
      </c>
      <c r="O22" s="3" t="s">
        <v>89</v>
      </c>
      <c r="P22" s="3" t="s">
        <v>51</v>
      </c>
      <c r="Q22" s="6">
        <v>296.26</v>
      </c>
      <c r="R22" s="6">
        <v>296.26</v>
      </c>
      <c r="S22" s="5">
        <v>46195</v>
      </c>
      <c r="T22" s="3" t="s">
        <v>72</v>
      </c>
      <c r="U22" s="3" t="s">
        <v>112</v>
      </c>
      <c r="V22" s="3" t="s">
        <v>55</v>
      </c>
      <c r="W22" s="3" t="s">
        <v>32</v>
      </c>
      <c r="X22" s="3" t="s">
        <v>52</v>
      </c>
      <c r="Y22" s="3">
        <v>100101</v>
      </c>
      <c r="Z22" s="3" t="s">
        <v>113</v>
      </c>
      <c r="AA22" s="3">
        <v>100111</v>
      </c>
      <c r="AB22" s="3" t="s">
        <v>90</v>
      </c>
      <c r="AC22" s="4">
        <f ca="1">TODAY()-Open[[#This Row],[Status Date]]</f>
        <v>9</v>
      </c>
      <c r="AD22" s="3" t="s">
        <v>91</v>
      </c>
      <c r="AE22" t="str">
        <f t="shared" si="0"/>
        <v>Andrew Ross</v>
      </c>
      <c r="AF22" t="s">
        <v>1054</v>
      </c>
    </row>
    <row r="23" spans="1:32" x14ac:dyDescent="0.3">
      <c r="A23" s="3" t="s">
        <v>81</v>
      </c>
      <c r="B23" s="3" t="s">
        <v>82</v>
      </c>
      <c r="C23" s="3" t="s">
        <v>83</v>
      </c>
      <c r="D23" s="5">
        <v>44909</v>
      </c>
      <c r="E23" s="5">
        <v>44910</v>
      </c>
      <c r="F23" s="3" t="s">
        <v>30</v>
      </c>
      <c r="G23" s="3" t="s">
        <v>84</v>
      </c>
      <c r="H23" s="4">
        <v>1283</v>
      </c>
      <c r="I23" s="4">
        <v>3792619</v>
      </c>
      <c r="J23" s="3" t="s">
        <v>174</v>
      </c>
      <c r="K23" s="3" t="s">
        <v>175</v>
      </c>
      <c r="L23" s="3" t="s">
        <v>176</v>
      </c>
      <c r="M23" s="5">
        <v>44894</v>
      </c>
      <c r="N23" s="3" t="s">
        <v>88</v>
      </c>
      <c r="O23" s="3" t="s">
        <v>89</v>
      </c>
      <c r="P23" s="3" t="s">
        <v>51</v>
      </c>
      <c r="Q23" s="6">
        <v>539.20000000000005</v>
      </c>
      <c r="R23" s="6">
        <v>539.20000000000005</v>
      </c>
      <c r="S23" s="5">
        <v>46195</v>
      </c>
      <c r="T23" s="3" t="s">
        <v>72</v>
      </c>
      <c r="U23" s="3" t="s">
        <v>112</v>
      </c>
      <c r="V23" s="3" t="s">
        <v>55</v>
      </c>
      <c r="W23" s="3" t="s">
        <v>32</v>
      </c>
      <c r="X23" s="3" t="s">
        <v>52</v>
      </c>
      <c r="Y23" s="3">
        <v>100141</v>
      </c>
      <c r="Z23" s="3" t="s">
        <v>123</v>
      </c>
      <c r="AA23" s="3">
        <v>100121</v>
      </c>
      <c r="AB23" s="3" t="s">
        <v>103</v>
      </c>
      <c r="AC23" s="4">
        <f ca="1">TODAY()-Open[[#This Row],[Status Date]]</f>
        <v>9</v>
      </c>
      <c r="AD23" s="3" t="s">
        <v>91</v>
      </c>
      <c r="AE23" t="str">
        <f t="shared" si="0"/>
        <v>Olivia Jenkins</v>
      </c>
      <c r="AF23" t="s">
        <v>1054</v>
      </c>
    </row>
    <row r="24" spans="1:32" x14ac:dyDescent="0.3">
      <c r="A24" s="3" t="s">
        <v>81</v>
      </c>
      <c r="B24" s="3" t="s">
        <v>82</v>
      </c>
      <c r="C24" s="3" t="s">
        <v>83</v>
      </c>
      <c r="D24" s="5">
        <v>44988</v>
      </c>
      <c r="E24" s="5">
        <v>45275</v>
      </c>
      <c r="F24" s="3" t="s">
        <v>30</v>
      </c>
      <c r="G24" s="3" t="s">
        <v>84</v>
      </c>
      <c r="H24" s="4">
        <v>1204</v>
      </c>
      <c r="I24" s="4">
        <v>3853698</v>
      </c>
      <c r="J24" s="3" t="s">
        <v>180</v>
      </c>
      <c r="K24" s="3" t="s">
        <v>181</v>
      </c>
      <c r="L24" s="3" t="s">
        <v>182</v>
      </c>
      <c r="M24" s="5">
        <v>44987</v>
      </c>
      <c r="N24" s="3" t="s">
        <v>88</v>
      </c>
      <c r="O24" s="3" t="s">
        <v>89</v>
      </c>
      <c r="P24" s="3" t="s">
        <v>51</v>
      </c>
      <c r="Q24" s="6">
        <v>1580.1</v>
      </c>
      <c r="R24" s="6">
        <v>1580.1</v>
      </c>
      <c r="S24" s="5">
        <v>46195</v>
      </c>
      <c r="T24" s="3" t="s">
        <v>72</v>
      </c>
      <c r="U24" s="3" t="s">
        <v>112</v>
      </c>
      <c r="V24" s="3" t="s">
        <v>55</v>
      </c>
      <c r="W24" s="3" t="s">
        <v>32</v>
      </c>
      <c r="X24" s="3" t="s">
        <v>52</v>
      </c>
      <c r="Y24" s="3">
        <v>100181</v>
      </c>
      <c r="Z24" s="3" t="s">
        <v>127</v>
      </c>
      <c r="AA24" s="3">
        <v>100151</v>
      </c>
      <c r="AB24" s="3" t="s">
        <v>108</v>
      </c>
      <c r="AC24" s="4">
        <f ca="1">TODAY()-Open[[#This Row],[Status Date]]</f>
        <v>9</v>
      </c>
      <c r="AD24" s="3" t="s">
        <v>91</v>
      </c>
      <c r="AE24" t="str">
        <f t="shared" si="0"/>
        <v>Mason Reynolds</v>
      </c>
      <c r="AF24" t="s">
        <v>1054</v>
      </c>
    </row>
    <row r="25" spans="1:32" x14ac:dyDescent="0.3">
      <c r="A25" s="3" t="s">
        <v>81</v>
      </c>
      <c r="B25" s="3" t="s">
        <v>82</v>
      </c>
      <c r="C25" s="3" t="s">
        <v>83</v>
      </c>
      <c r="D25" s="5">
        <v>44995</v>
      </c>
      <c r="E25" s="5">
        <v>44995</v>
      </c>
      <c r="F25" s="3" t="s">
        <v>30</v>
      </c>
      <c r="G25" s="3" t="s">
        <v>84</v>
      </c>
      <c r="H25" s="4">
        <v>1197</v>
      </c>
      <c r="I25" s="4">
        <v>3858828</v>
      </c>
      <c r="J25" s="3" t="s">
        <v>183</v>
      </c>
      <c r="K25" s="3" t="s">
        <v>184</v>
      </c>
      <c r="L25" s="3" t="s">
        <v>185</v>
      </c>
      <c r="M25" s="5">
        <v>44980</v>
      </c>
      <c r="N25" s="3" t="s">
        <v>88</v>
      </c>
      <c r="O25" s="3" t="s">
        <v>89</v>
      </c>
      <c r="P25" s="3" t="s">
        <v>44</v>
      </c>
      <c r="Q25" s="6">
        <v>387.77</v>
      </c>
      <c r="R25" s="6">
        <v>387.77</v>
      </c>
      <c r="S25" s="5">
        <v>46195</v>
      </c>
      <c r="T25" s="3" t="s">
        <v>72</v>
      </c>
      <c r="U25" s="3" t="s">
        <v>112</v>
      </c>
      <c r="V25" s="3" t="s">
        <v>55</v>
      </c>
      <c r="W25" s="3" t="s">
        <v>32</v>
      </c>
      <c r="X25" s="3" t="s">
        <v>45</v>
      </c>
      <c r="Y25" s="3">
        <v>100221</v>
      </c>
      <c r="Z25" s="3" t="s">
        <v>131</v>
      </c>
      <c r="AA25" s="3">
        <v>100161</v>
      </c>
      <c r="AB25" s="3" t="s">
        <v>132</v>
      </c>
      <c r="AC25" s="4">
        <f ca="1">TODAY()-Open[[#This Row],[Status Date]]</f>
        <v>9</v>
      </c>
      <c r="AD25" s="3" t="s">
        <v>91</v>
      </c>
      <c r="AE25" t="str">
        <f t="shared" si="0"/>
        <v>Connor Bishop</v>
      </c>
      <c r="AF25" t="s">
        <v>1053</v>
      </c>
    </row>
    <row r="26" spans="1:32" x14ac:dyDescent="0.3">
      <c r="A26" s="3" t="s">
        <v>81</v>
      </c>
      <c r="B26" s="3" t="s">
        <v>82</v>
      </c>
      <c r="C26" s="3" t="s">
        <v>83</v>
      </c>
      <c r="D26" s="5">
        <v>45035</v>
      </c>
      <c r="E26" s="5">
        <v>45275</v>
      </c>
      <c r="F26" s="3" t="s">
        <v>30</v>
      </c>
      <c r="G26" s="3" t="s">
        <v>84</v>
      </c>
      <c r="H26" s="4">
        <v>1157</v>
      </c>
      <c r="I26" s="4">
        <v>3893018</v>
      </c>
      <c r="J26" s="3" t="s">
        <v>186</v>
      </c>
      <c r="K26" s="3" t="s">
        <v>187</v>
      </c>
      <c r="L26" s="3" t="s">
        <v>188</v>
      </c>
      <c r="M26" s="5">
        <v>45033</v>
      </c>
      <c r="N26" s="3" t="s">
        <v>88</v>
      </c>
      <c r="O26" s="3" t="s">
        <v>89</v>
      </c>
      <c r="P26" s="3" t="s">
        <v>51</v>
      </c>
      <c r="Q26" s="6">
        <v>546.62</v>
      </c>
      <c r="R26" s="6">
        <v>546.62</v>
      </c>
      <c r="S26" s="5">
        <v>46195</v>
      </c>
      <c r="T26" s="3" t="s">
        <v>72</v>
      </c>
      <c r="U26" s="3" t="s">
        <v>112</v>
      </c>
      <c r="V26" s="3" t="s">
        <v>55</v>
      </c>
      <c r="W26" s="3" t="s">
        <v>32</v>
      </c>
      <c r="X26" s="3" t="s">
        <v>52</v>
      </c>
      <c r="Y26" s="3">
        <v>100261</v>
      </c>
      <c r="Z26" s="3" t="s">
        <v>136</v>
      </c>
      <c r="AA26" s="3">
        <v>100191</v>
      </c>
      <c r="AB26" s="3" t="s">
        <v>137</v>
      </c>
      <c r="AC26" s="4">
        <f ca="1">TODAY()-Open[[#This Row],[Status Date]]</f>
        <v>9</v>
      </c>
      <c r="AD26" s="3" t="s">
        <v>91</v>
      </c>
      <c r="AE26" t="str">
        <f t="shared" si="0"/>
        <v>Dominic Flores</v>
      </c>
      <c r="AF26" t="s">
        <v>1054</v>
      </c>
    </row>
    <row r="27" spans="1:32" x14ac:dyDescent="0.3">
      <c r="A27" s="3" t="s">
        <v>81</v>
      </c>
      <c r="B27" s="3" t="s">
        <v>82</v>
      </c>
      <c r="C27" s="3" t="s">
        <v>83</v>
      </c>
      <c r="D27" s="5">
        <v>45044</v>
      </c>
      <c r="E27" s="5">
        <v>45581</v>
      </c>
      <c r="F27" s="3" t="s">
        <v>30</v>
      </c>
      <c r="G27" s="3" t="s">
        <v>84</v>
      </c>
      <c r="H27" s="4">
        <v>1148</v>
      </c>
      <c r="I27" s="4">
        <v>3901428</v>
      </c>
      <c r="J27" s="3" t="s">
        <v>189</v>
      </c>
      <c r="K27" s="3" t="s">
        <v>190</v>
      </c>
      <c r="L27" s="3" t="s">
        <v>191</v>
      </c>
      <c r="M27" s="5">
        <v>45038</v>
      </c>
      <c r="N27" s="3" t="s">
        <v>88</v>
      </c>
      <c r="O27" s="3" t="s">
        <v>89</v>
      </c>
      <c r="P27" s="3" t="s">
        <v>53</v>
      </c>
      <c r="Q27" s="6">
        <v>5358.94</v>
      </c>
      <c r="R27" s="6">
        <v>5358.94</v>
      </c>
      <c r="S27" s="5">
        <v>46195</v>
      </c>
      <c r="T27" s="3" t="s">
        <v>66</v>
      </c>
      <c r="U27" s="3" t="s">
        <v>79</v>
      </c>
      <c r="V27" s="3" t="s">
        <v>55</v>
      </c>
      <c r="W27" s="3" t="s">
        <v>32</v>
      </c>
      <c r="X27" s="3" t="s">
        <v>54</v>
      </c>
      <c r="Y27" s="3">
        <v>100151</v>
      </c>
      <c r="Z27" s="3" t="s">
        <v>108</v>
      </c>
      <c r="AA27" s="3">
        <v>100151</v>
      </c>
      <c r="AB27" s="3" t="s">
        <v>108</v>
      </c>
      <c r="AC27" s="4">
        <f ca="1">TODAY()-Open[[#This Row],[Status Date]]</f>
        <v>9</v>
      </c>
      <c r="AD27" s="3" t="s">
        <v>91</v>
      </c>
      <c r="AE27" t="str">
        <f t="shared" si="0"/>
        <v>Mason Reynolds</v>
      </c>
      <c r="AF27" t="s">
        <v>1056</v>
      </c>
    </row>
    <row r="28" spans="1:32" x14ac:dyDescent="0.3">
      <c r="A28" s="3" t="s">
        <v>81</v>
      </c>
      <c r="B28" s="3" t="s">
        <v>82</v>
      </c>
      <c r="C28" s="3" t="s">
        <v>83</v>
      </c>
      <c r="D28" s="5">
        <v>45056</v>
      </c>
      <c r="E28" s="5">
        <v>45786</v>
      </c>
      <c r="F28" s="3" t="s">
        <v>30</v>
      </c>
      <c r="G28" s="3" t="s">
        <v>84</v>
      </c>
      <c r="H28" s="4">
        <v>1136</v>
      </c>
      <c r="I28" s="4">
        <v>3929698</v>
      </c>
      <c r="J28" s="3" t="s">
        <v>192</v>
      </c>
      <c r="K28" s="3" t="s">
        <v>193</v>
      </c>
      <c r="L28" s="3" t="s">
        <v>194</v>
      </c>
      <c r="M28" s="5">
        <v>45054</v>
      </c>
      <c r="N28" s="3" t="s">
        <v>88</v>
      </c>
      <c r="O28" s="3" t="s">
        <v>89</v>
      </c>
      <c r="P28" s="3" t="s">
        <v>44</v>
      </c>
      <c r="Q28" s="6">
        <v>496.47</v>
      </c>
      <c r="R28" s="6">
        <v>496.47</v>
      </c>
      <c r="S28" s="5">
        <v>46195</v>
      </c>
      <c r="T28" s="3" t="s">
        <v>72</v>
      </c>
      <c r="U28" s="3" t="s">
        <v>112</v>
      </c>
      <c r="V28" s="3" t="s">
        <v>55</v>
      </c>
      <c r="W28" s="3" t="s">
        <v>32</v>
      </c>
      <c r="X28" s="3" t="s">
        <v>45</v>
      </c>
      <c r="Y28" s="3">
        <v>100101</v>
      </c>
      <c r="Z28" s="3" t="s">
        <v>113</v>
      </c>
      <c r="AA28" s="3">
        <v>100111</v>
      </c>
      <c r="AB28" s="3" t="s">
        <v>90</v>
      </c>
      <c r="AC28" s="4">
        <f ca="1">TODAY()-Open[[#This Row],[Status Date]]</f>
        <v>9</v>
      </c>
      <c r="AD28" s="3" t="s">
        <v>91</v>
      </c>
      <c r="AE28" t="str">
        <f t="shared" si="0"/>
        <v>Andrew Ross</v>
      </c>
      <c r="AF28" t="s">
        <v>1053</v>
      </c>
    </row>
    <row r="29" spans="1:32" x14ac:dyDescent="0.3">
      <c r="A29" s="3" t="s">
        <v>81</v>
      </c>
      <c r="B29" s="3" t="s">
        <v>82</v>
      </c>
      <c r="C29" s="3" t="s">
        <v>83</v>
      </c>
      <c r="D29" s="5">
        <v>45078</v>
      </c>
      <c r="E29" s="5">
        <v>45275</v>
      </c>
      <c r="F29" s="3" t="s">
        <v>30</v>
      </c>
      <c r="G29" s="3" t="s">
        <v>84</v>
      </c>
      <c r="H29" s="4">
        <v>1114</v>
      </c>
      <c r="I29" s="4">
        <v>3932238</v>
      </c>
      <c r="J29" s="3" t="s">
        <v>195</v>
      </c>
      <c r="K29" s="3" t="s">
        <v>196</v>
      </c>
      <c r="L29" s="3" t="s">
        <v>197</v>
      </c>
      <c r="M29" s="5">
        <v>45077</v>
      </c>
      <c r="N29" s="3" t="s">
        <v>88</v>
      </c>
      <c r="O29" s="3" t="s">
        <v>89</v>
      </c>
      <c r="P29" s="3" t="s">
        <v>44</v>
      </c>
      <c r="Q29" s="6">
        <v>10.07</v>
      </c>
      <c r="R29" s="6">
        <v>439.51</v>
      </c>
      <c r="S29" s="5">
        <v>46195</v>
      </c>
      <c r="T29" s="3" t="s">
        <v>72</v>
      </c>
      <c r="U29" s="3" t="s">
        <v>112</v>
      </c>
      <c r="V29" s="3" t="s">
        <v>55</v>
      </c>
      <c r="W29" s="3" t="s">
        <v>32</v>
      </c>
      <c r="X29" s="3" t="s">
        <v>45</v>
      </c>
      <c r="Y29" s="3">
        <v>100141</v>
      </c>
      <c r="Z29" s="3" t="s">
        <v>123</v>
      </c>
      <c r="AA29" s="3">
        <v>100121</v>
      </c>
      <c r="AB29" s="3" t="s">
        <v>103</v>
      </c>
      <c r="AC29" s="4">
        <f ca="1">TODAY()-Open[[#This Row],[Status Date]]</f>
        <v>9</v>
      </c>
      <c r="AD29" s="3" t="s">
        <v>91</v>
      </c>
      <c r="AE29" t="str">
        <f t="shared" si="0"/>
        <v>Olivia Jenkins</v>
      </c>
      <c r="AF29" t="s">
        <v>1053</v>
      </c>
    </row>
    <row r="30" spans="1:32" x14ac:dyDescent="0.3">
      <c r="A30" s="3" t="s">
        <v>81</v>
      </c>
      <c r="B30" s="3" t="s">
        <v>82</v>
      </c>
      <c r="C30" s="3" t="s">
        <v>83</v>
      </c>
      <c r="D30" s="5">
        <v>45111</v>
      </c>
      <c r="E30" s="5">
        <v>45786</v>
      </c>
      <c r="F30" s="3" t="s">
        <v>30</v>
      </c>
      <c r="G30" s="3" t="s">
        <v>84</v>
      </c>
      <c r="H30" s="4">
        <v>1081</v>
      </c>
      <c r="I30" s="4">
        <v>3963127</v>
      </c>
      <c r="J30" s="3" t="s">
        <v>198</v>
      </c>
      <c r="K30" s="3" t="s">
        <v>199</v>
      </c>
      <c r="L30" s="3" t="s">
        <v>200</v>
      </c>
      <c r="M30" s="5">
        <v>45107</v>
      </c>
      <c r="N30" s="3" t="s">
        <v>88</v>
      </c>
      <c r="O30" s="3" t="s">
        <v>89</v>
      </c>
      <c r="P30" s="3" t="s">
        <v>44</v>
      </c>
      <c r="Q30" s="6">
        <v>567.25</v>
      </c>
      <c r="R30" s="6">
        <v>567.25</v>
      </c>
      <c r="S30" s="5">
        <v>46195</v>
      </c>
      <c r="T30" s="3" t="s">
        <v>72</v>
      </c>
      <c r="U30" s="3" t="s">
        <v>112</v>
      </c>
      <c r="V30" s="3" t="s">
        <v>55</v>
      </c>
      <c r="W30" s="3" t="s">
        <v>32</v>
      </c>
      <c r="X30" s="3" t="s">
        <v>45</v>
      </c>
      <c r="Y30" s="3">
        <v>100181</v>
      </c>
      <c r="Z30" s="3" t="s">
        <v>127</v>
      </c>
      <c r="AA30" s="3">
        <v>100151</v>
      </c>
      <c r="AB30" s="3" t="s">
        <v>108</v>
      </c>
      <c r="AC30" s="4">
        <f ca="1">TODAY()-Open[[#This Row],[Status Date]]</f>
        <v>9</v>
      </c>
      <c r="AD30" s="3" t="s">
        <v>91</v>
      </c>
      <c r="AE30" t="str">
        <f t="shared" si="0"/>
        <v>Mason Reynolds</v>
      </c>
      <c r="AF30" t="s">
        <v>1053</v>
      </c>
    </row>
    <row r="31" spans="1:32" x14ac:dyDescent="0.3">
      <c r="A31" s="3" t="s">
        <v>81</v>
      </c>
      <c r="B31" s="3" t="s">
        <v>82</v>
      </c>
      <c r="C31" s="3" t="s">
        <v>83</v>
      </c>
      <c r="D31" s="5">
        <v>45121</v>
      </c>
      <c r="E31" s="5">
        <v>45121</v>
      </c>
      <c r="F31" s="3" t="s">
        <v>30</v>
      </c>
      <c r="G31" s="3" t="s">
        <v>84</v>
      </c>
      <c r="H31" s="4">
        <v>1071</v>
      </c>
      <c r="I31" s="4">
        <v>3973397</v>
      </c>
      <c r="J31" s="3" t="s">
        <v>201</v>
      </c>
      <c r="K31" s="3" t="s">
        <v>202</v>
      </c>
      <c r="L31" s="3" t="s">
        <v>203</v>
      </c>
      <c r="M31" s="5">
        <v>45106</v>
      </c>
      <c r="N31" s="3" t="s">
        <v>88</v>
      </c>
      <c r="O31" s="3" t="s">
        <v>89</v>
      </c>
      <c r="P31" s="3" t="s">
        <v>44</v>
      </c>
      <c r="Q31" s="6">
        <v>758.94</v>
      </c>
      <c r="R31" s="6">
        <v>758.94</v>
      </c>
      <c r="S31" s="5">
        <v>46195</v>
      </c>
      <c r="T31" s="3" t="s">
        <v>72</v>
      </c>
      <c r="U31" s="3" t="s">
        <v>112</v>
      </c>
      <c r="V31" s="3" t="s">
        <v>55</v>
      </c>
      <c r="W31" s="3" t="s">
        <v>32</v>
      </c>
      <c r="X31" s="3" t="s">
        <v>45</v>
      </c>
      <c r="Y31" s="3">
        <v>100221</v>
      </c>
      <c r="Z31" s="3" t="s">
        <v>131</v>
      </c>
      <c r="AA31" s="3">
        <v>100161</v>
      </c>
      <c r="AB31" s="3" t="s">
        <v>132</v>
      </c>
      <c r="AC31" s="4">
        <f ca="1">TODAY()-Open[[#This Row],[Status Date]]</f>
        <v>9</v>
      </c>
      <c r="AD31" s="3" t="s">
        <v>91</v>
      </c>
      <c r="AE31" t="str">
        <f t="shared" si="0"/>
        <v>Connor Bishop</v>
      </c>
      <c r="AF31" t="s">
        <v>1053</v>
      </c>
    </row>
    <row r="32" spans="1:32" x14ac:dyDescent="0.3">
      <c r="A32" s="3" t="s">
        <v>81</v>
      </c>
      <c r="B32" s="3" t="s">
        <v>82</v>
      </c>
      <c r="C32" s="3" t="s">
        <v>83</v>
      </c>
      <c r="D32" s="5">
        <v>45147</v>
      </c>
      <c r="E32" s="5">
        <v>45274</v>
      </c>
      <c r="F32" s="3" t="s">
        <v>30</v>
      </c>
      <c r="G32" s="3" t="s">
        <v>84</v>
      </c>
      <c r="H32" s="4">
        <v>1045</v>
      </c>
      <c r="I32" s="4">
        <v>3988707</v>
      </c>
      <c r="J32" s="3" t="s">
        <v>216</v>
      </c>
      <c r="K32" s="3" t="s">
        <v>217</v>
      </c>
      <c r="L32" s="3" t="s">
        <v>218</v>
      </c>
      <c r="M32" s="5">
        <v>45145</v>
      </c>
      <c r="N32" s="3" t="s">
        <v>88</v>
      </c>
      <c r="O32" s="3" t="s">
        <v>89</v>
      </c>
      <c r="P32" s="3" t="s">
        <v>51</v>
      </c>
      <c r="Q32" s="6">
        <v>1857.28</v>
      </c>
      <c r="R32" s="6">
        <v>1857.28</v>
      </c>
      <c r="S32" s="5">
        <v>46195</v>
      </c>
      <c r="T32" s="3" t="s">
        <v>72</v>
      </c>
      <c r="U32" s="3" t="s">
        <v>112</v>
      </c>
      <c r="V32" s="3" t="s">
        <v>55</v>
      </c>
      <c r="W32" s="3" t="s">
        <v>32</v>
      </c>
      <c r="X32" s="3" t="s">
        <v>52</v>
      </c>
      <c r="Y32" s="3">
        <v>100261</v>
      </c>
      <c r="Z32" s="3" t="s">
        <v>136</v>
      </c>
      <c r="AA32" s="3">
        <v>100191</v>
      </c>
      <c r="AB32" s="3" t="s">
        <v>137</v>
      </c>
      <c r="AC32" s="4">
        <f ca="1">TODAY()-Open[[#This Row],[Status Date]]</f>
        <v>9</v>
      </c>
      <c r="AD32" s="3" t="s">
        <v>91</v>
      </c>
      <c r="AE32" t="str">
        <f t="shared" si="0"/>
        <v>Dominic Flores</v>
      </c>
      <c r="AF32" t="s">
        <v>1054</v>
      </c>
    </row>
    <row r="33" spans="1:32" x14ac:dyDescent="0.3">
      <c r="A33" s="3" t="s">
        <v>81</v>
      </c>
      <c r="B33" s="3" t="s">
        <v>82</v>
      </c>
      <c r="C33" s="3" t="s">
        <v>83</v>
      </c>
      <c r="D33" s="5">
        <v>45150</v>
      </c>
      <c r="E33" s="5">
        <v>45273</v>
      </c>
      <c r="F33" s="3" t="s">
        <v>30</v>
      </c>
      <c r="G33" s="3" t="s">
        <v>84</v>
      </c>
      <c r="H33" s="4">
        <v>1042</v>
      </c>
      <c r="I33" s="4">
        <v>3992617</v>
      </c>
      <c r="J33" s="3" t="s">
        <v>219</v>
      </c>
      <c r="K33" s="3" t="s">
        <v>220</v>
      </c>
      <c r="L33" s="3" t="s">
        <v>221</v>
      </c>
      <c r="M33" s="5">
        <v>45133</v>
      </c>
      <c r="N33" s="3" t="s">
        <v>88</v>
      </c>
      <c r="O33" s="3" t="s">
        <v>89</v>
      </c>
      <c r="P33" s="3" t="s">
        <v>51</v>
      </c>
      <c r="Q33" s="6">
        <v>1785.54</v>
      </c>
      <c r="R33" s="6">
        <v>1785.54</v>
      </c>
      <c r="S33" s="5">
        <v>46195</v>
      </c>
      <c r="T33" s="3" t="s">
        <v>72</v>
      </c>
      <c r="U33" s="3" t="s">
        <v>112</v>
      </c>
      <c r="V33" s="3" t="s">
        <v>55</v>
      </c>
      <c r="W33" s="3" t="s">
        <v>32</v>
      </c>
      <c r="X33" s="3" t="s">
        <v>52</v>
      </c>
      <c r="Y33" s="3">
        <v>100101</v>
      </c>
      <c r="Z33" s="3" t="s">
        <v>113</v>
      </c>
      <c r="AA33" s="3">
        <v>100111</v>
      </c>
      <c r="AB33" s="3" t="s">
        <v>90</v>
      </c>
      <c r="AC33" s="4">
        <f ca="1">TODAY()-Open[[#This Row],[Status Date]]</f>
        <v>9</v>
      </c>
      <c r="AD33" s="3" t="s">
        <v>91</v>
      </c>
      <c r="AE33" t="str">
        <f t="shared" si="0"/>
        <v>Andrew Ross</v>
      </c>
      <c r="AF33" t="s">
        <v>1054</v>
      </c>
    </row>
    <row r="34" spans="1:32" x14ac:dyDescent="0.3">
      <c r="A34" s="3" t="s">
        <v>81</v>
      </c>
      <c r="B34" s="3" t="s">
        <v>82</v>
      </c>
      <c r="C34" s="3" t="s">
        <v>83</v>
      </c>
      <c r="D34" s="5">
        <v>45153</v>
      </c>
      <c r="E34" s="5">
        <v>45273</v>
      </c>
      <c r="F34" s="3" t="s">
        <v>30</v>
      </c>
      <c r="G34" s="3" t="s">
        <v>84</v>
      </c>
      <c r="H34" s="4">
        <v>1039</v>
      </c>
      <c r="I34" s="4">
        <v>3993637</v>
      </c>
      <c r="J34" s="3" t="s">
        <v>222</v>
      </c>
      <c r="K34" s="3" t="s">
        <v>223</v>
      </c>
      <c r="L34" s="3" t="s">
        <v>224</v>
      </c>
      <c r="M34" s="5">
        <v>45139</v>
      </c>
      <c r="N34" s="3" t="s">
        <v>88</v>
      </c>
      <c r="O34" s="3" t="s">
        <v>89</v>
      </c>
      <c r="P34" s="3" t="s">
        <v>44</v>
      </c>
      <c r="Q34" s="6">
        <v>54.18</v>
      </c>
      <c r="R34" s="6">
        <v>2033.31</v>
      </c>
      <c r="S34" s="5">
        <v>46195</v>
      </c>
      <c r="T34" s="3" t="s">
        <v>72</v>
      </c>
      <c r="U34" s="3" t="s">
        <v>112</v>
      </c>
      <c r="V34" s="3" t="s">
        <v>55</v>
      </c>
      <c r="W34" s="3" t="s">
        <v>32</v>
      </c>
      <c r="X34" s="3" t="s">
        <v>45</v>
      </c>
      <c r="Y34" s="3">
        <v>100141</v>
      </c>
      <c r="Z34" s="3" t="s">
        <v>123</v>
      </c>
      <c r="AA34" s="3">
        <v>100121</v>
      </c>
      <c r="AB34" s="3" t="s">
        <v>103</v>
      </c>
      <c r="AC34" s="4">
        <f ca="1">TODAY()-Open[[#This Row],[Status Date]]</f>
        <v>9</v>
      </c>
      <c r="AD34" s="3" t="s">
        <v>91</v>
      </c>
      <c r="AE34" t="str">
        <f t="shared" si="0"/>
        <v>Olivia Jenkins</v>
      </c>
      <c r="AF34" t="s">
        <v>1053</v>
      </c>
    </row>
    <row r="35" spans="1:32" x14ac:dyDescent="0.3">
      <c r="A35" s="3" t="s">
        <v>81</v>
      </c>
      <c r="B35" s="3" t="s">
        <v>82</v>
      </c>
      <c r="C35" s="3" t="s">
        <v>83</v>
      </c>
      <c r="D35" s="5">
        <v>45162</v>
      </c>
      <c r="E35" s="5">
        <v>45273</v>
      </c>
      <c r="F35" s="3" t="s">
        <v>30</v>
      </c>
      <c r="G35" s="3" t="s">
        <v>84</v>
      </c>
      <c r="H35" s="4">
        <v>1030</v>
      </c>
      <c r="I35" s="4">
        <v>4006147</v>
      </c>
      <c r="J35" s="3" t="s">
        <v>231</v>
      </c>
      <c r="K35" s="3" t="s">
        <v>232</v>
      </c>
      <c r="L35" s="3" t="s">
        <v>233</v>
      </c>
      <c r="M35" s="5">
        <v>45149</v>
      </c>
      <c r="N35" s="3" t="s">
        <v>88</v>
      </c>
      <c r="O35" s="3" t="s">
        <v>89</v>
      </c>
      <c r="P35" s="3" t="s">
        <v>51</v>
      </c>
      <c r="Q35" s="6">
        <v>724.42</v>
      </c>
      <c r="R35" s="6">
        <v>724.42</v>
      </c>
      <c r="S35" s="5">
        <v>46195</v>
      </c>
      <c r="T35" s="3" t="s">
        <v>72</v>
      </c>
      <c r="U35" s="3" t="s">
        <v>112</v>
      </c>
      <c r="V35" s="3" t="s">
        <v>55</v>
      </c>
      <c r="W35" s="3" t="s">
        <v>32</v>
      </c>
      <c r="X35" s="3" t="s">
        <v>52</v>
      </c>
      <c r="Y35" s="3">
        <v>100181</v>
      </c>
      <c r="Z35" s="3" t="s">
        <v>127</v>
      </c>
      <c r="AA35" s="3">
        <v>100151</v>
      </c>
      <c r="AB35" s="3" t="s">
        <v>108</v>
      </c>
      <c r="AC35" s="4">
        <f ca="1">TODAY()-Open[[#This Row],[Status Date]]</f>
        <v>9</v>
      </c>
      <c r="AD35" s="3" t="s">
        <v>91</v>
      </c>
      <c r="AE35" t="str">
        <f t="shared" si="0"/>
        <v>Mason Reynolds</v>
      </c>
      <c r="AF35" t="s">
        <v>1054</v>
      </c>
    </row>
    <row r="36" spans="1:32" x14ac:dyDescent="0.3">
      <c r="A36" s="3" t="s">
        <v>81</v>
      </c>
      <c r="B36" s="3" t="s">
        <v>82</v>
      </c>
      <c r="C36" s="3" t="s">
        <v>83</v>
      </c>
      <c r="D36" s="5">
        <v>45168</v>
      </c>
      <c r="E36" s="5">
        <v>45273</v>
      </c>
      <c r="F36" s="3" t="s">
        <v>30</v>
      </c>
      <c r="G36" s="3" t="s">
        <v>84</v>
      </c>
      <c r="H36" s="4">
        <v>1024</v>
      </c>
      <c r="I36" s="4">
        <v>4007117</v>
      </c>
      <c r="J36" s="3" t="s">
        <v>234</v>
      </c>
      <c r="K36" s="3" t="s">
        <v>235</v>
      </c>
      <c r="L36" s="3" t="s">
        <v>236</v>
      </c>
      <c r="M36" s="5">
        <v>45155</v>
      </c>
      <c r="N36" s="3" t="s">
        <v>88</v>
      </c>
      <c r="O36" s="3" t="s">
        <v>89</v>
      </c>
      <c r="P36" s="3" t="s">
        <v>44</v>
      </c>
      <c r="Q36" s="6">
        <v>777.04</v>
      </c>
      <c r="R36" s="6">
        <v>777.04</v>
      </c>
      <c r="S36" s="5">
        <v>46195</v>
      </c>
      <c r="T36" s="3" t="s">
        <v>72</v>
      </c>
      <c r="U36" s="3" t="s">
        <v>112</v>
      </c>
      <c r="V36" s="3" t="s">
        <v>55</v>
      </c>
      <c r="W36" s="3" t="s">
        <v>32</v>
      </c>
      <c r="X36" s="3" t="s">
        <v>45</v>
      </c>
      <c r="Y36" s="3">
        <v>100221</v>
      </c>
      <c r="Z36" s="3" t="s">
        <v>131</v>
      </c>
      <c r="AA36" s="3">
        <v>100161</v>
      </c>
      <c r="AB36" s="3" t="s">
        <v>132</v>
      </c>
      <c r="AC36" s="4">
        <f ca="1">TODAY()-Open[[#This Row],[Status Date]]</f>
        <v>9</v>
      </c>
      <c r="AD36" s="3" t="s">
        <v>91</v>
      </c>
      <c r="AE36" t="str">
        <f t="shared" si="0"/>
        <v>Connor Bishop</v>
      </c>
      <c r="AF36" t="s">
        <v>1053</v>
      </c>
    </row>
    <row r="37" spans="1:32" x14ac:dyDescent="0.3">
      <c r="A37" s="3" t="s">
        <v>81</v>
      </c>
      <c r="B37" s="3" t="s">
        <v>82</v>
      </c>
      <c r="C37" s="3" t="s">
        <v>83</v>
      </c>
      <c r="D37" s="5">
        <v>45198</v>
      </c>
      <c r="E37" s="5">
        <v>45273</v>
      </c>
      <c r="F37" s="3" t="s">
        <v>30</v>
      </c>
      <c r="G37" s="3" t="s">
        <v>84</v>
      </c>
      <c r="H37" s="4">
        <v>994</v>
      </c>
      <c r="I37" s="4">
        <v>4039836</v>
      </c>
      <c r="J37" s="3" t="s">
        <v>237</v>
      </c>
      <c r="K37" s="3" t="s">
        <v>238</v>
      </c>
      <c r="L37" s="3" t="s">
        <v>239</v>
      </c>
      <c r="M37" s="5">
        <v>45187</v>
      </c>
      <c r="N37" s="3" t="s">
        <v>88</v>
      </c>
      <c r="O37" s="3" t="s">
        <v>89</v>
      </c>
      <c r="P37" s="3" t="s">
        <v>51</v>
      </c>
      <c r="Q37" s="6">
        <v>504.47</v>
      </c>
      <c r="R37" s="6">
        <v>504.47</v>
      </c>
      <c r="S37" s="5">
        <v>46195</v>
      </c>
      <c r="T37" s="3" t="s">
        <v>72</v>
      </c>
      <c r="U37" s="3" t="s">
        <v>112</v>
      </c>
      <c r="V37" s="3" t="s">
        <v>55</v>
      </c>
      <c r="W37" s="3" t="s">
        <v>32</v>
      </c>
      <c r="X37" s="3" t="s">
        <v>52</v>
      </c>
      <c r="Y37" s="3">
        <v>100261</v>
      </c>
      <c r="Z37" s="3" t="s">
        <v>136</v>
      </c>
      <c r="AA37" s="3">
        <v>100191</v>
      </c>
      <c r="AB37" s="3" t="s">
        <v>137</v>
      </c>
      <c r="AC37" s="4">
        <f ca="1">TODAY()-Open[[#This Row],[Status Date]]</f>
        <v>9</v>
      </c>
      <c r="AD37" s="3" t="s">
        <v>91</v>
      </c>
      <c r="AE37" t="str">
        <f t="shared" si="0"/>
        <v>Dominic Flores</v>
      </c>
      <c r="AF37" t="s">
        <v>1054</v>
      </c>
    </row>
    <row r="38" spans="1:32" x14ac:dyDescent="0.3">
      <c r="A38" s="3" t="s">
        <v>81</v>
      </c>
      <c r="B38" s="3" t="s">
        <v>82</v>
      </c>
      <c r="C38" s="3" t="s">
        <v>83</v>
      </c>
      <c r="D38" s="5">
        <v>45203</v>
      </c>
      <c r="E38" s="5">
        <v>45275</v>
      </c>
      <c r="F38" s="3" t="s">
        <v>30</v>
      </c>
      <c r="G38" s="3" t="s">
        <v>84</v>
      </c>
      <c r="H38" s="4">
        <v>989</v>
      </c>
      <c r="I38" s="4">
        <v>4039816</v>
      </c>
      <c r="J38" s="3" t="s">
        <v>240</v>
      </c>
      <c r="K38" s="3" t="s">
        <v>241</v>
      </c>
      <c r="L38" s="3" t="s">
        <v>242</v>
      </c>
      <c r="M38" s="5">
        <v>45201</v>
      </c>
      <c r="N38" s="3" t="s">
        <v>88</v>
      </c>
      <c r="O38" s="3" t="s">
        <v>89</v>
      </c>
      <c r="P38" s="3" t="s">
        <v>51</v>
      </c>
      <c r="Q38" s="6">
        <v>439.16</v>
      </c>
      <c r="R38" s="6">
        <v>439.16</v>
      </c>
      <c r="S38" s="5">
        <v>46195</v>
      </c>
      <c r="T38" s="3" t="s">
        <v>72</v>
      </c>
      <c r="U38" s="3" t="s">
        <v>112</v>
      </c>
      <c r="V38" s="3" t="s">
        <v>55</v>
      </c>
      <c r="W38" s="3" t="s">
        <v>32</v>
      </c>
      <c r="X38" s="3" t="s">
        <v>52</v>
      </c>
      <c r="Y38" s="3">
        <v>100101</v>
      </c>
      <c r="Z38" s="3" t="s">
        <v>113</v>
      </c>
      <c r="AA38" s="3">
        <v>100111</v>
      </c>
      <c r="AB38" s="3" t="s">
        <v>90</v>
      </c>
      <c r="AC38" s="4">
        <f ca="1">TODAY()-Open[[#This Row],[Status Date]]</f>
        <v>9</v>
      </c>
      <c r="AD38" s="3" t="s">
        <v>91</v>
      </c>
      <c r="AE38" t="str">
        <f t="shared" si="0"/>
        <v>Andrew Ross</v>
      </c>
      <c r="AF38" t="s">
        <v>1054</v>
      </c>
    </row>
    <row r="39" spans="1:32" x14ac:dyDescent="0.3">
      <c r="A39" s="3" t="s">
        <v>81</v>
      </c>
      <c r="B39" s="3" t="s">
        <v>82</v>
      </c>
      <c r="C39" s="3" t="s">
        <v>83</v>
      </c>
      <c r="D39" s="5">
        <v>45206</v>
      </c>
      <c r="E39" s="5">
        <v>45273</v>
      </c>
      <c r="F39" s="3" t="s">
        <v>30</v>
      </c>
      <c r="G39" s="3" t="s">
        <v>84</v>
      </c>
      <c r="H39" s="4">
        <v>986</v>
      </c>
      <c r="I39" s="4">
        <v>4042336</v>
      </c>
      <c r="J39" s="3" t="s">
        <v>288</v>
      </c>
      <c r="K39" s="3" t="s">
        <v>289</v>
      </c>
      <c r="L39" s="3" t="s">
        <v>290</v>
      </c>
      <c r="M39" s="5">
        <v>45194</v>
      </c>
      <c r="N39" s="3" t="s">
        <v>88</v>
      </c>
      <c r="O39" s="3" t="s">
        <v>89</v>
      </c>
      <c r="P39" s="3" t="s">
        <v>51</v>
      </c>
      <c r="Q39" s="6">
        <v>445.06</v>
      </c>
      <c r="R39" s="6">
        <v>445.06</v>
      </c>
      <c r="S39" s="5">
        <v>46195</v>
      </c>
      <c r="T39" s="3" t="s">
        <v>72</v>
      </c>
      <c r="U39" s="3" t="s">
        <v>112</v>
      </c>
      <c r="V39" s="3" t="s">
        <v>55</v>
      </c>
      <c r="W39" s="3" t="s">
        <v>32</v>
      </c>
      <c r="X39" s="3" t="s">
        <v>52</v>
      </c>
      <c r="Y39" s="3">
        <v>100141</v>
      </c>
      <c r="Z39" s="3" t="s">
        <v>123</v>
      </c>
      <c r="AA39" s="3">
        <v>100121</v>
      </c>
      <c r="AB39" s="3" t="s">
        <v>103</v>
      </c>
      <c r="AC39" s="4">
        <f ca="1">TODAY()-Open[[#This Row],[Status Date]]</f>
        <v>9</v>
      </c>
      <c r="AD39" s="3" t="s">
        <v>91</v>
      </c>
      <c r="AE39" t="str">
        <f t="shared" si="0"/>
        <v>Olivia Jenkins</v>
      </c>
      <c r="AF39" t="s">
        <v>1054</v>
      </c>
    </row>
    <row r="40" spans="1:32" x14ac:dyDescent="0.3">
      <c r="A40" s="3" t="s">
        <v>81</v>
      </c>
      <c r="B40" s="3" t="s">
        <v>82</v>
      </c>
      <c r="C40" s="3" t="s">
        <v>83</v>
      </c>
      <c r="D40" s="5">
        <v>45227</v>
      </c>
      <c r="E40" s="5">
        <v>45392</v>
      </c>
      <c r="F40" s="3" t="s">
        <v>30</v>
      </c>
      <c r="G40" s="3" t="s">
        <v>84</v>
      </c>
      <c r="H40" s="4">
        <v>965</v>
      </c>
      <c r="I40" s="4">
        <v>4043756</v>
      </c>
      <c r="J40" s="3" t="s">
        <v>297</v>
      </c>
      <c r="K40" s="3" t="s">
        <v>298</v>
      </c>
      <c r="L40" s="3" t="s">
        <v>299</v>
      </c>
      <c r="M40" s="5">
        <v>44652</v>
      </c>
      <c r="N40" s="3" t="s">
        <v>88</v>
      </c>
      <c r="O40" s="3" t="s">
        <v>89</v>
      </c>
      <c r="P40" s="3" t="s">
        <v>56</v>
      </c>
      <c r="Q40" s="6">
        <v>630.16</v>
      </c>
      <c r="R40" s="6">
        <v>630.16</v>
      </c>
      <c r="S40" s="5">
        <v>46195</v>
      </c>
      <c r="T40" s="3" t="s">
        <v>66</v>
      </c>
      <c r="U40" s="3" t="s">
        <v>79</v>
      </c>
      <c r="V40" s="3" t="s">
        <v>55</v>
      </c>
      <c r="W40" s="3" t="s">
        <v>32</v>
      </c>
      <c r="X40" s="3" t="s">
        <v>57</v>
      </c>
      <c r="Y40" s="3">
        <v>100161</v>
      </c>
      <c r="Z40" s="3" t="s">
        <v>132</v>
      </c>
      <c r="AA40" s="3">
        <v>100161</v>
      </c>
      <c r="AB40" s="3" t="s">
        <v>132</v>
      </c>
      <c r="AC40" s="4">
        <f ca="1">TODAY()-Open[[#This Row],[Status Date]]</f>
        <v>9</v>
      </c>
      <c r="AD40" s="3" t="s">
        <v>91</v>
      </c>
      <c r="AE40" t="str">
        <f t="shared" si="0"/>
        <v>Connor Bishop</v>
      </c>
      <c r="AF40" t="s">
        <v>1057</v>
      </c>
    </row>
    <row r="41" spans="1:32" x14ac:dyDescent="0.3">
      <c r="A41" s="3" t="s">
        <v>81</v>
      </c>
      <c r="B41" s="3" t="s">
        <v>82</v>
      </c>
      <c r="C41" s="3" t="s">
        <v>83</v>
      </c>
      <c r="D41" s="5">
        <v>45227</v>
      </c>
      <c r="E41" s="5">
        <v>45581</v>
      </c>
      <c r="F41" s="3" t="s">
        <v>30</v>
      </c>
      <c r="G41" s="3" t="s">
        <v>84</v>
      </c>
      <c r="H41" s="4">
        <v>965</v>
      </c>
      <c r="I41" s="4">
        <v>4054126</v>
      </c>
      <c r="J41" s="3" t="s">
        <v>300</v>
      </c>
      <c r="K41" s="3" t="s">
        <v>301</v>
      </c>
      <c r="L41" s="3" t="s">
        <v>302</v>
      </c>
      <c r="M41" s="5">
        <v>44652</v>
      </c>
      <c r="N41" s="3" t="s">
        <v>88</v>
      </c>
      <c r="O41" s="3" t="s">
        <v>89</v>
      </c>
      <c r="P41" s="3" t="s">
        <v>56</v>
      </c>
      <c r="Q41" s="6">
        <v>630.16</v>
      </c>
      <c r="R41" s="6">
        <v>630.16</v>
      </c>
      <c r="S41" s="5">
        <v>46195</v>
      </c>
      <c r="T41" s="3" t="s">
        <v>66</v>
      </c>
      <c r="U41" s="3" t="s">
        <v>79</v>
      </c>
      <c r="V41" s="3" t="s">
        <v>55</v>
      </c>
      <c r="W41" s="3" t="s">
        <v>32</v>
      </c>
      <c r="X41" s="3" t="s">
        <v>57</v>
      </c>
      <c r="Y41" s="3">
        <v>100191</v>
      </c>
      <c r="Z41" s="3" t="s">
        <v>137</v>
      </c>
      <c r="AA41" s="3">
        <v>100191</v>
      </c>
      <c r="AB41" s="3" t="s">
        <v>137</v>
      </c>
      <c r="AC41" s="4">
        <f ca="1">TODAY()-Open[[#This Row],[Status Date]]</f>
        <v>9</v>
      </c>
      <c r="AD41" s="3" t="s">
        <v>91</v>
      </c>
      <c r="AE41" t="str">
        <f t="shared" si="0"/>
        <v>Dominic Flores</v>
      </c>
      <c r="AF41" t="s">
        <v>1057</v>
      </c>
    </row>
    <row r="42" spans="1:32" x14ac:dyDescent="0.3">
      <c r="A42" s="3" t="s">
        <v>81</v>
      </c>
      <c r="B42" s="3" t="s">
        <v>82</v>
      </c>
      <c r="C42" s="3" t="s">
        <v>83</v>
      </c>
      <c r="D42" s="5">
        <v>45227</v>
      </c>
      <c r="E42" s="5">
        <v>45581</v>
      </c>
      <c r="F42" s="3" t="s">
        <v>30</v>
      </c>
      <c r="G42" s="3" t="s">
        <v>84</v>
      </c>
      <c r="H42" s="4">
        <v>965</v>
      </c>
      <c r="I42" s="4">
        <v>4062306</v>
      </c>
      <c r="J42" s="3" t="s">
        <v>303</v>
      </c>
      <c r="K42" s="3" t="s">
        <v>304</v>
      </c>
      <c r="L42" s="3" t="s">
        <v>305</v>
      </c>
      <c r="M42" s="5">
        <v>44652</v>
      </c>
      <c r="N42" s="3" t="s">
        <v>88</v>
      </c>
      <c r="O42" s="3" t="s">
        <v>89</v>
      </c>
      <c r="P42" s="3" t="s">
        <v>56</v>
      </c>
      <c r="Q42" s="6">
        <v>630.16</v>
      </c>
      <c r="R42" s="6">
        <v>630.16</v>
      </c>
      <c r="S42" s="5">
        <v>46195</v>
      </c>
      <c r="T42" s="3" t="s">
        <v>66</v>
      </c>
      <c r="U42" s="3" t="s">
        <v>79</v>
      </c>
      <c r="V42" s="3" t="s">
        <v>55</v>
      </c>
      <c r="W42" s="3" t="s">
        <v>32</v>
      </c>
      <c r="X42" s="3" t="s">
        <v>57</v>
      </c>
      <c r="Y42" s="3">
        <v>100201</v>
      </c>
      <c r="Z42" s="3" t="s">
        <v>306</v>
      </c>
      <c r="AA42" s="3">
        <v>100201</v>
      </c>
      <c r="AB42" s="3" t="s">
        <v>306</v>
      </c>
      <c r="AC42" s="4">
        <f ca="1">TODAY()-Open[[#This Row],[Status Date]]</f>
        <v>9</v>
      </c>
      <c r="AD42" s="3" t="s">
        <v>91</v>
      </c>
      <c r="AE42" t="str">
        <f t="shared" si="0"/>
        <v>Aiden Harper</v>
      </c>
      <c r="AF42" t="s">
        <v>1057</v>
      </c>
    </row>
    <row r="43" spans="1:32" x14ac:dyDescent="0.3">
      <c r="A43" s="3" t="s">
        <v>81</v>
      </c>
      <c r="B43" s="3" t="s">
        <v>82</v>
      </c>
      <c r="C43" s="3" t="s">
        <v>83</v>
      </c>
      <c r="D43" s="5">
        <v>45227</v>
      </c>
      <c r="E43" s="5">
        <v>45581</v>
      </c>
      <c r="F43" s="3" t="s">
        <v>30</v>
      </c>
      <c r="G43" s="3" t="s">
        <v>84</v>
      </c>
      <c r="H43" s="4">
        <v>965</v>
      </c>
      <c r="I43" s="4">
        <v>4062856</v>
      </c>
      <c r="J43" s="3" t="s">
        <v>307</v>
      </c>
      <c r="K43" s="3" t="s">
        <v>308</v>
      </c>
      <c r="L43" s="3" t="s">
        <v>309</v>
      </c>
      <c r="M43" s="5">
        <v>44652</v>
      </c>
      <c r="N43" s="3" t="s">
        <v>88</v>
      </c>
      <c r="O43" s="3" t="s">
        <v>89</v>
      </c>
      <c r="P43" s="3" t="s">
        <v>56</v>
      </c>
      <c r="Q43" s="6">
        <v>630.16</v>
      </c>
      <c r="R43" s="6">
        <v>630.16</v>
      </c>
      <c r="S43" s="5">
        <v>46195</v>
      </c>
      <c r="T43" s="3" t="s">
        <v>66</v>
      </c>
      <c r="U43" s="3" t="s">
        <v>79</v>
      </c>
      <c r="V43" s="3" t="s">
        <v>55</v>
      </c>
      <c r="W43" s="3" t="s">
        <v>32</v>
      </c>
      <c r="X43" s="3" t="s">
        <v>57</v>
      </c>
      <c r="Y43" s="3">
        <v>100231</v>
      </c>
      <c r="Z43" s="3" t="s">
        <v>310</v>
      </c>
      <c r="AA43" s="3">
        <v>100231</v>
      </c>
      <c r="AB43" s="3" t="s">
        <v>310</v>
      </c>
      <c r="AC43" s="4">
        <f ca="1">TODAY()-Open[[#This Row],[Status Date]]</f>
        <v>9</v>
      </c>
      <c r="AD43" s="3" t="s">
        <v>91</v>
      </c>
      <c r="AE43" t="str">
        <f t="shared" si="0"/>
        <v>Jackson Norris</v>
      </c>
      <c r="AF43" t="s">
        <v>1057</v>
      </c>
    </row>
    <row r="44" spans="1:32" x14ac:dyDescent="0.3">
      <c r="A44" s="3" t="s">
        <v>81</v>
      </c>
      <c r="B44" s="3" t="s">
        <v>82</v>
      </c>
      <c r="C44" s="3" t="s">
        <v>83</v>
      </c>
      <c r="D44" s="5">
        <v>45227</v>
      </c>
      <c r="E44" s="5">
        <v>45581</v>
      </c>
      <c r="F44" s="3" t="s">
        <v>30</v>
      </c>
      <c r="G44" s="3" t="s">
        <v>84</v>
      </c>
      <c r="H44" s="4">
        <v>965</v>
      </c>
      <c r="I44" s="4">
        <v>4062436</v>
      </c>
      <c r="J44" s="3" t="s">
        <v>311</v>
      </c>
      <c r="K44" s="3" t="s">
        <v>312</v>
      </c>
      <c r="L44" s="3" t="s">
        <v>313</v>
      </c>
      <c r="M44" s="5">
        <v>44652</v>
      </c>
      <c r="N44" s="3" t="s">
        <v>88</v>
      </c>
      <c r="O44" s="3" t="s">
        <v>89</v>
      </c>
      <c r="P44" s="3" t="s">
        <v>56</v>
      </c>
      <c r="Q44" s="6">
        <v>630.16</v>
      </c>
      <c r="R44" s="6">
        <v>630.16</v>
      </c>
      <c r="S44" s="5">
        <v>46195</v>
      </c>
      <c r="T44" s="3" t="s">
        <v>66</v>
      </c>
      <c r="U44" s="3" t="s">
        <v>79</v>
      </c>
      <c r="V44" s="3" t="s">
        <v>55</v>
      </c>
      <c r="W44" s="3" t="s">
        <v>32</v>
      </c>
      <c r="X44" s="3" t="s">
        <v>57</v>
      </c>
      <c r="Y44" s="3">
        <v>100241</v>
      </c>
      <c r="Z44" s="3" t="s">
        <v>314</v>
      </c>
      <c r="AA44" s="3">
        <v>100241</v>
      </c>
      <c r="AB44" s="3" t="s">
        <v>314</v>
      </c>
      <c r="AC44" s="4">
        <f ca="1">TODAY()-Open[[#This Row],[Status Date]]</f>
        <v>9</v>
      </c>
      <c r="AD44" s="3" t="s">
        <v>91</v>
      </c>
      <c r="AE44" t="str">
        <f t="shared" si="0"/>
        <v>Leah Pearson</v>
      </c>
      <c r="AF44" t="s">
        <v>1057</v>
      </c>
    </row>
    <row r="45" spans="1:32" x14ac:dyDescent="0.3">
      <c r="A45" s="3" t="s">
        <v>81</v>
      </c>
      <c r="B45" s="3" t="s">
        <v>82</v>
      </c>
      <c r="C45" s="3" t="s">
        <v>83</v>
      </c>
      <c r="D45" s="5">
        <v>45227</v>
      </c>
      <c r="E45" s="5">
        <v>45581</v>
      </c>
      <c r="F45" s="3" t="s">
        <v>30</v>
      </c>
      <c r="G45" s="3" t="s">
        <v>84</v>
      </c>
      <c r="H45" s="4">
        <v>965</v>
      </c>
      <c r="I45" s="4">
        <v>4062816</v>
      </c>
      <c r="J45" s="3" t="s">
        <v>315</v>
      </c>
      <c r="K45" s="3" t="s">
        <v>316</v>
      </c>
      <c r="L45" s="3" t="s">
        <v>317</v>
      </c>
      <c r="M45" s="5">
        <v>44652</v>
      </c>
      <c r="N45" s="3" t="s">
        <v>88</v>
      </c>
      <c r="O45" s="3" t="s">
        <v>89</v>
      </c>
      <c r="P45" s="3" t="s">
        <v>56</v>
      </c>
      <c r="Q45" s="6">
        <v>1606.06</v>
      </c>
      <c r="R45" s="6">
        <v>1606.06</v>
      </c>
      <c r="S45" s="5">
        <v>46195</v>
      </c>
      <c r="T45" s="3" t="s">
        <v>66</v>
      </c>
      <c r="U45" s="3" t="s">
        <v>79</v>
      </c>
      <c r="V45" s="3" t="s">
        <v>55</v>
      </c>
      <c r="W45" s="3" t="s">
        <v>32</v>
      </c>
      <c r="X45" s="3" t="s">
        <v>57</v>
      </c>
      <c r="Y45" s="3">
        <v>100271</v>
      </c>
      <c r="Z45" s="3" t="s">
        <v>318</v>
      </c>
      <c r="AA45" s="3">
        <v>100271</v>
      </c>
      <c r="AB45" s="3" t="s">
        <v>318</v>
      </c>
      <c r="AC45" s="4">
        <f ca="1">TODAY()-Open[[#This Row],[Status Date]]</f>
        <v>9</v>
      </c>
      <c r="AD45" s="3" t="s">
        <v>91</v>
      </c>
      <c r="AE45" t="str">
        <f t="shared" si="0"/>
        <v>Brooke Palmer</v>
      </c>
      <c r="AF45" t="s">
        <v>1057</v>
      </c>
    </row>
    <row r="46" spans="1:32" x14ac:dyDescent="0.3">
      <c r="A46" s="3" t="s">
        <v>81</v>
      </c>
      <c r="B46" s="3" t="s">
        <v>82</v>
      </c>
      <c r="C46" s="3" t="s">
        <v>83</v>
      </c>
      <c r="D46" s="5">
        <v>45227</v>
      </c>
      <c r="E46" s="5">
        <v>45581</v>
      </c>
      <c r="F46" s="3" t="s">
        <v>30</v>
      </c>
      <c r="G46" s="3" t="s">
        <v>84</v>
      </c>
      <c r="H46" s="4">
        <v>965</v>
      </c>
      <c r="I46" s="4">
        <v>4062766</v>
      </c>
      <c r="J46" s="3" t="s">
        <v>319</v>
      </c>
      <c r="K46" s="3" t="s">
        <v>320</v>
      </c>
      <c r="L46" s="3" t="s">
        <v>321</v>
      </c>
      <c r="M46" s="5">
        <v>44652</v>
      </c>
      <c r="N46" s="3" t="s">
        <v>88</v>
      </c>
      <c r="O46" s="3" t="s">
        <v>89</v>
      </c>
      <c r="P46" s="3" t="s">
        <v>56</v>
      </c>
      <c r="Q46" s="6">
        <v>750</v>
      </c>
      <c r="R46" s="6">
        <v>750</v>
      </c>
      <c r="S46" s="5">
        <v>46195</v>
      </c>
      <c r="T46" s="3" t="s">
        <v>66</v>
      </c>
      <c r="U46" s="3" t="s">
        <v>79</v>
      </c>
      <c r="V46" s="3" t="s">
        <v>55</v>
      </c>
      <c r="W46" s="3" t="s">
        <v>32</v>
      </c>
      <c r="X46" s="3" t="s">
        <v>57</v>
      </c>
      <c r="Y46" s="3">
        <v>100281</v>
      </c>
      <c r="Z46" s="3" t="s">
        <v>322</v>
      </c>
      <c r="AA46" s="3">
        <v>100281</v>
      </c>
      <c r="AB46" s="3" t="s">
        <v>322</v>
      </c>
      <c r="AC46" s="4">
        <f ca="1">TODAY()-Open[[#This Row],[Status Date]]</f>
        <v>9</v>
      </c>
      <c r="AD46" s="3" t="s">
        <v>91</v>
      </c>
      <c r="AE46" t="str">
        <f t="shared" si="0"/>
        <v>Grace Whitaker</v>
      </c>
      <c r="AF46" t="s">
        <v>1057</v>
      </c>
    </row>
    <row r="47" spans="1:32" x14ac:dyDescent="0.3">
      <c r="A47" s="3" t="s">
        <v>81</v>
      </c>
      <c r="B47" s="3" t="s">
        <v>82</v>
      </c>
      <c r="C47" s="3" t="s">
        <v>83</v>
      </c>
      <c r="D47" s="5">
        <v>45227</v>
      </c>
      <c r="E47" s="5">
        <v>45581</v>
      </c>
      <c r="F47" s="3" t="s">
        <v>30</v>
      </c>
      <c r="G47" s="3" t="s">
        <v>84</v>
      </c>
      <c r="H47" s="4">
        <v>965</v>
      </c>
      <c r="I47" s="4">
        <v>4062636</v>
      </c>
      <c r="J47" s="3" t="s">
        <v>323</v>
      </c>
      <c r="K47" s="3" t="s">
        <v>324</v>
      </c>
      <c r="L47" s="3" t="s">
        <v>325</v>
      </c>
      <c r="M47" s="5">
        <v>44652</v>
      </c>
      <c r="N47" s="3" t="s">
        <v>88</v>
      </c>
      <c r="O47" s="3" t="s">
        <v>89</v>
      </c>
      <c r="P47" s="3" t="s">
        <v>56</v>
      </c>
      <c r="Q47" s="6">
        <v>780.16</v>
      </c>
      <c r="R47" s="6">
        <v>780.16</v>
      </c>
      <c r="S47" s="5">
        <v>46195</v>
      </c>
      <c r="T47" s="3" t="s">
        <v>66</v>
      </c>
      <c r="U47" s="3" t="s">
        <v>79</v>
      </c>
      <c r="V47" s="3" t="s">
        <v>55</v>
      </c>
      <c r="W47" s="3" t="s">
        <v>32</v>
      </c>
      <c r="X47" s="3" t="s">
        <v>57</v>
      </c>
      <c r="Y47" s="3">
        <v>100111</v>
      </c>
      <c r="Z47" s="3" t="s">
        <v>90</v>
      </c>
      <c r="AA47" s="3">
        <v>100111</v>
      </c>
      <c r="AB47" s="3" t="s">
        <v>90</v>
      </c>
      <c r="AC47" s="4">
        <f ca="1">TODAY()-Open[[#This Row],[Status Date]]</f>
        <v>9</v>
      </c>
      <c r="AD47" s="3" t="s">
        <v>91</v>
      </c>
      <c r="AE47" t="str">
        <f t="shared" si="0"/>
        <v>Andrew Ross</v>
      </c>
      <c r="AF47" t="s">
        <v>1057</v>
      </c>
    </row>
    <row r="48" spans="1:32" x14ac:dyDescent="0.3">
      <c r="A48" s="3" t="s">
        <v>81</v>
      </c>
      <c r="B48" s="3" t="s">
        <v>82</v>
      </c>
      <c r="C48" s="3" t="s">
        <v>83</v>
      </c>
      <c r="D48" s="5">
        <v>45227</v>
      </c>
      <c r="E48" s="5">
        <v>45581</v>
      </c>
      <c r="F48" s="3" t="s">
        <v>30</v>
      </c>
      <c r="G48" s="3" t="s">
        <v>84</v>
      </c>
      <c r="H48" s="4">
        <v>965</v>
      </c>
      <c r="I48" s="4">
        <v>4062736</v>
      </c>
      <c r="J48" s="3" t="s">
        <v>326</v>
      </c>
      <c r="K48" s="3" t="s">
        <v>327</v>
      </c>
      <c r="L48" s="3" t="s">
        <v>328</v>
      </c>
      <c r="M48" s="5">
        <v>44652</v>
      </c>
      <c r="N48" s="3" t="s">
        <v>88</v>
      </c>
      <c r="O48" s="3" t="s">
        <v>89</v>
      </c>
      <c r="P48" s="3" t="s">
        <v>56</v>
      </c>
      <c r="Q48" s="6">
        <v>900</v>
      </c>
      <c r="R48" s="6">
        <v>900</v>
      </c>
      <c r="S48" s="5">
        <v>46195</v>
      </c>
      <c r="T48" s="3" t="s">
        <v>66</v>
      </c>
      <c r="U48" s="3" t="s">
        <v>79</v>
      </c>
      <c r="V48" s="3" t="s">
        <v>55</v>
      </c>
      <c r="W48" s="3" t="s">
        <v>32</v>
      </c>
      <c r="X48" s="3" t="s">
        <v>57</v>
      </c>
      <c r="Y48" s="3">
        <v>100121</v>
      </c>
      <c r="Z48" s="3" t="s">
        <v>103</v>
      </c>
      <c r="AA48" s="3">
        <v>100121</v>
      </c>
      <c r="AB48" s="3" t="s">
        <v>103</v>
      </c>
      <c r="AC48" s="4">
        <f ca="1">TODAY()-Open[[#This Row],[Status Date]]</f>
        <v>9</v>
      </c>
      <c r="AD48" s="3" t="s">
        <v>91</v>
      </c>
      <c r="AE48" t="str">
        <f t="shared" si="0"/>
        <v>Olivia Jenkins</v>
      </c>
      <c r="AF48" t="s">
        <v>1057</v>
      </c>
    </row>
    <row r="49" spans="1:32" x14ac:dyDescent="0.3">
      <c r="A49" s="3" t="s">
        <v>81</v>
      </c>
      <c r="B49" s="3" t="s">
        <v>82</v>
      </c>
      <c r="C49" s="3" t="s">
        <v>83</v>
      </c>
      <c r="D49" s="5">
        <v>45227</v>
      </c>
      <c r="E49" s="5">
        <v>45581</v>
      </c>
      <c r="F49" s="3" t="s">
        <v>30</v>
      </c>
      <c r="G49" s="3" t="s">
        <v>84</v>
      </c>
      <c r="H49" s="4">
        <v>965</v>
      </c>
      <c r="I49" s="4">
        <v>4062426</v>
      </c>
      <c r="J49" s="3" t="s">
        <v>329</v>
      </c>
      <c r="K49" s="3" t="s">
        <v>330</v>
      </c>
      <c r="L49" s="3" t="s">
        <v>331</v>
      </c>
      <c r="M49" s="5">
        <v>44652</v>
      </c>
      <c r="N49" s="3" t="s">
        <v>88</v>
      </c>
      <c r="O49" s="3" t="s">
        <v>89</v>
      </c>
      <c r="P49" s="3" t="s">
        <v>56</v>
      </c>
      <c r="Q49" s="6">
        <v>900</v>
      </c>
      <c r="R49" s="6">
        <v>900</v>
      </c>
      <c r="S49" s="5">
        <v>46195</v>
      </c>
      <c r="T49" s="3" t="s">
        <v>66</v>
      </c>
      <c r="U49" s="3" t="s">
        <v>79</v>
      </c>
      <c r="V49" s="3" t="s">
        <v>55</v>
      </c>
      <c r="W49" s="3" t="s">
        <v>32</v>
      </c>
      <c r="X49" s="3" t="s">
        <v>57</v>
      </c>
      <c r="Y49" s="3">
        <v>100151</v>
      </c>
      <c r="Z49" s="3" t="s">
        <v>108</v>
      </c>
      <c r="AA49" s="3">
        <v>100151</v>
      </c>
      <c r="AB49" s="3" t="s">
        <v>108</v>
      </c>
      <c r="AC49" s="4">
        <f ca="1">TODAY()-Open[[#This Row],[Status Date]]</f>
        <v>9</v>
      </c>
      <c r="AD49" s="3" t="s">
        <v>91</v>
      </c>
      <c r="AE49" t="str">
        <f t="shared" si="0"/>
        <v>Mason Reynolds</v>
      </c>
      <c r="AF49" t="s">
        <v>1057</v>
      </c>
    </row>
    <row r="50" spans="1:32" x14ac:dyDescent="0.3">
      <c r="A50" s="3" t="s">
        <v>81</v>
      </c>
      <c r="B50" s="3" t="s">
        <v>82</v>
      </c>
      <c r="C50" s="3" t="s">
        <v>83</v>
      </c>
      <c r="D50" s="5">
        <v>45227</v>
      </c>
      <c r="E50" s="5">
        <v>45581</v>
      </c>
      <c r="F50" s="3" t="s">
        <v>30</v>
      </c>
      <c r="G50" s="3" t="s">
        <v>84</v>
      </c>
      <c r="H50" s="4">
        <v>965</v>
      </c>
      <c r="I50" s="4">
        <v>4062896</v>
      </c>
      <c r="J50" s="3" t="s">
        <v>332</v>
      </c>
      <c r="K50" s="3" t="s">
        <v>333</v>
      </c>
      <c r="L50" s="3" t="s">
        <v>334</v>
      </c>
      <c r="M50" s="5">
        <v>44652</v>
      </c>
      <c r="N50" s="3" t="s">
        <v>88</v>
      </c>
      <c r="O50" s="3" t="s">
        <v>89</v>
      </c>
      <c r="P50" s="3" t="s">
        <v>56</v>
      </c>
      <c r="Q50" s="6">
        <v>630.16</v>
      </c>
      <c r="R50" s="6">
        <v>630.16</v>
      </c>
      <c r="S50" s="5">
        <v>46195</v>
      </c>
      <c r="T50" s="3" t="s">
        <v>66</v>
      </c>
      <c r="U50" s="3" t="s">
        <v>79</v>
      </c>
      <c r="V50" s="3" t="s">
        <v>55</v>
      </c>
      <c r="W50" s="3" t="s">
        <v>32</v>
      </c>
      <c r="X50" s="3" t="s">
        <v>57</v>
      </c>
      <c r="Y50" s="3">
        <v>100161</v>
      </c>
      <c r="Z50" s="3" t="s">
        <v>132</v>
      </c>
      <c r="AA50" s="3">
        <v>100161</v>
      </c>
      <c r="AB50" s="3" t="s">
        <v>132</v>
      </c>
      <c r="AC50" s="4">
        <f ca="1">TODAY()-Open[[#This Row],[Status Date]]</f>
        <v>9</v>
      </c>
      <c r="AD50" s="3" t="s">
        <v>91</v>
      </c>
      <c r="AE50" t="str">
        <f t="shared" si="0"/>
        <v>Connor Bishop</v>
      </c>
      <c r="AF50" t="s">
        <v>1057</v>
      </c>
    </row>
    <row r="51" spans="1:32" x14ac:dyDescent="0.3">
      <c r="A51" s="3" t="s">
        <v>81</v>
      </c>
      <c r="B51" s="3" t="s">
        <v>82</v>
      </c>
      <c r="C51" s="3" t="s">
        <v>83</v>
      </c>
      <c r="D51" s="5">
        <v>45227</v>
      </c>
      <c r="E51" s="5">
        <v>45581</v>
      </c>
      <c r="F51" s="3" t="s">
        <v>30</v>
      </c>
      <c r="G51" s="3" t="s">
        <v>84</v>
      </c>
      <c r="H51" s="4">
        <v>965</v>
      </c>
      <c r="I51" s="4">
        <v>4062806</v>
      </c>
      <c r="J51" s="3" t="s">
        <v>335</v>
      </c>
      <c r="K51" s="3" t="s">
        <v>336</v>
      </c>
      <c r="L51" s="3" t="s">
        <v>337</v>
      </c>
      <c r="M51" s="5">
        <v>44652</v>
      </c>
      <c r="N51" s="3" t="s">
        <v>88</v>
      </c>
      <c r="O51" s="3" t="s">
        <v>89</v>
      </c>
      <c r="P51" s="3" t="s">
        <v>56</v>
      </c>
      <c r="Q51" s="6">
        <v>630.16</v>
      </c>
      <c r="R51" s="6">
        <v>630.16</v>
      </c>
      <c r="S51" s="5">
        <v>46195</v>
      </c>
      <c r="T51" s="3" t="s">
        <v>66</v>
      </c>
      <c r="U51" s="3" t="s">
        <v>79</v>
      </c>
      <c r="V51" s="3" t="s">
        <v>55</v>
      </c>
      <c r="W51" s="3" t="s">
        <v>32</v>
      </c>
      <c r="X51" s="3" t="s">
        <v>57</v>
      </c>
      <c r="Y51" s="3">
        <v>100191</v>
      </c>
      <c r="Z51" s="3" t="s">
        <v>137</v>
      </c>
      <c r="AA51" s="3">
        <v>100191</v>
      </c>
      <c r="AB51" s="3" t="s">
        <v>137</v>
      </c>
      <c r="AC51" s="4">
        <f ca="1">TODAY()-Open[[#This Row],[Status Date]]</f>
        <v>9</v>
      </c>
      <c r="AD51" s="3" t="s">
        <v>91</v>
      </c>
      <c r="AE51" t="str">
        <f t="shared" si="0"/>
        <v>Dominic Flores</v>
      </c>
      <c r="AF51" t="s">
        <v>1057</v>
      </c>
    </row>
    <row r="52" spans="1:32" x14ac:dyDescent="0.3">
      <c r="A52" s="3" t="s">
        <v>81</v>
      </c>
      <c r="B52" s="3" t="s">
        <v>82</v>
      </c>
      <c r="C52" s="3" t="s">
        <v>83</v>
      </c>
      <c r="D52" s="5">
        <v>45227</v>
      </c>
      <c r="E52" s="5">
        <v>45581</v>
      </c>
      <c r="F52" s="3" t="s">
        <v>30</v>
      </c>
      <c r="G52" s="3" t="s">
        <v>84</v>
      </c>
      <c r="H52" s="4">
        <v>965</v>
      </c>
      <c r="I52" s="4">
        <v>4062726</v>
      </c>
      <c r="J52" s="3" t="s">
        <v>338</v>
      </c>
      <c r="K52" s="3" t="s">
        <v>339</v>
      </c>
      <c r="L52" s="3" t="s">
        <v>340</v>
      </c>
      <c r="M52" s="5">
        <v>44652</v>
      </c>
      <c r="N52" s="3" t="s">
        <v>88</v>
      </c>
      <c r="O52" s="3" t="s">
        <v>89</v>
      </c>
      <c r="P52" s="3" t="s">
        <v>56</v>
      </c>
      <c r="Q52" s="6">
        <v>630.16</v>
      </c>
      <c r="R52" s="6">
        <v>630.16</v>
      </c>
      <c r="S52" s="5">
        <v>46195</v>
      </c>
      <c r="T52" s="3" t="s">
        <v>66</v>
      </c>
      <c r="U52" s="3" t="s">
        <v>79</v>
      </c>
      <c r="V52" s="3" t="s">
        <v>55</v>
      </c>
      <c r="W52" s="3" t="s">
        <v>32</v>
      </c>
      <c r="X52" s="3" t="s">
        <v>57</v>
      </c>
      <c r="Y52" s="3">
        <v>100201</v>
      </c>
      <c r="Z52" s="3" t="s">
        <v>306</v>
      </c>
      <c r="AA52" s="3">
        <v>100201</v>
      </c>
      <c r="AB52" s="3" t="s">
        <v>306</v>
      </c>
      <c r="AC52" s="4">
        <f ca="1">TODAY()-Open[[#This Row],[Status Date]]</f>
        <v>9</v>
      </c>
      <c r="AD52" s="3" t="s">
        <v>91</v>
      </c>
      <c r="AE52" t="str">
        <f t="shared" si="0"/>
        <v>Aiden Harper</v>
      </c>
      <c r="AF52" t="s">
        <v>1057</v>
      </c>
    </row>
    <row r="53" spans="1:32" x14ac:dyDescent="0.3">
      <c r="A53" s="3" t="s">
        <v>81</v>
      </c>
      <c r="B53" s="3" t="s">
        <v>82</v>
      </c>
      <c r="C53" s="3" t="s">
        <v>83</v>
      </c>
      <c r="D53" s="5">
        <v>45227</v>
      </c>
      <c r="E53" s="5">
        <v>45581</v>
      </c>
      <c r="F53" s="3" t="s">
        <v>30</v>
      </c>
      <c r="G53" s="3" t="s">
        <v>84</v>
      </c>
      <c r="H53" s="4">
        <v>965</v>
      </c>
      <c r="I53" s="4">
        <v>4062606</v>
      </c>
      <c r="J53" s="3" t="s">
        <v>341</v>
      </c>
      <c r="K53" s="3" t="s">
        <v>342</v>
      </c>
      <c r="L53" s="3" t="s">
        <v>343</v>
      </c>
      <c r="M53" s="5">
        <v>44652</v>
      </c>
      <c r="N53" s="3" t="s">
        <v>88</v>
      </c>
      <c r="O53" s="3" t="s">
        <v>89</v>
      </c>
      <c r="P53" s="3" t="s">
        <v>56</v>
      </c>
      <c r="Q53" s="6">
        <v>630.16</v>
      </c>
      <c r="R53" s="6">
        <v>630.16</v>
      </c>
      <c r="S53" s="5">
        <v>46195</v>
      </c>
      <c r="T53" s="3" t="s">
        <v>66</v>
      </c>
      <c r="U53" s="3" t="s">
        <v>79</v>
      </c>
      <c r="V53" s="3" t="s">
        <v>55</v>
      </c>
      <c r="W53" s="3" t="s">
        <v>32</v>
      </c>
      <c r="X53" s="3" t="s">
        <v>57</v>
      </c>
      <c r="Y53" s="3">
        <v>100231</v>
      </c>
      <c r="Z53" s="3" t="s">
        <v>310</v>
      </c>
      <c r="AA53" s="3">
        <v>100231</v>
      </c>
      <c r="AB53" s="3" t="s">
        <v>310</v>
      </c>
      <c r="AC53" s="4">
        <f ca="1">TODAY()-Open[[#This Row],[Status Date]]</f>
        <v>9</v>
      </c>
      <c r="AD53" s="3" t="s">
        <v>91</v>
      </c>
      <c r="AE53" t="str">
        <f t="shared" si="0"/>
        <v>Jackson Norris</v>
      </c>
      <c r="AF53" t="s">
        <v>1057</v>
      </c>
    </row>
    <row r="54" spans="1:32" x14ac:dyDescent="0.3">
      <c r="A54" s="3" t="s">
        <v>81</v>
      </c>
      <c r="B54" s="3" t="s">
        <v>82</v>
      </c>
      <c r="C54" s="3" t="s">
        <v>83</v>
      </c>
      <c r="D54" s="5">
        <v>45227</v>
      </c>
      <c r="E54" s="5">
        <v>45581</v>
      </c>
      <c r="F54" s="3" t="s">
        <v>30</v>
      </c>
      <c r="G54" s="3" t="s">
        <v>84</v>
      </c>
      <c r="H54" s="4">
        <v>965</v>
      </c>
      <c r="I54" s="4">
        <v>4062846</v>
      </c>
      <c r="J54" s="3" t="s">
        <v>344</v>
      </c>
      <c r="K54" s="3" t="s">
        <v>345</v>
      </c>
      <c r="L54" s="3" t="s">
        <v>346</v>
      </c>
      <c r="M54" s="5">
        <v>44652</v>
      </c>
      <c r="N54" s="3" t="s">
        <v>88</v>
      </c>
      <c r="O54" s="3" t="s">
        <v>89</v>
      </c>
      <c r="P54" s="3" t="s">
        <v>56</v>
      </c>
      <c r="Q54" s="6">
        <v>630.16</v>
      </c>
      <c r="R54" s="6">
        <v>630.16</v>
      </c>
      <c r="S54" s="5">
        <v>46195</v>
      </c>
      <c r="T54" s="3" t="s">
        <v>66</v>
      </c>
      <c r="U54" s="3" t="s">
        <v>79</v>
      </c>
      <c r="V54" s="3" t="s">
        <v>55</v>
      </c>
      <c r="W54" s="3" t="s">
        <v>32</v>
      </c>
      <c r="X54" s="3" t="s">
        <v>57</v>
      </c>
      <c r="Y54" s="3">
        <v>100241</v>
      </c>
      <c r="Z54" s="3" t="s">
        <v>314</v>
      </c>
      <c r="AA54" s="3">
        <v>100241</v>
      </c>
      <c r="AB54" s="3" t="s">
        <v>314</v>
      </c>
      <c r="AC54" s="4">
        <f ca="1">TODAY()-Open[[#This Row],[Status Date]]</f>
        <v>9</v>
      </c>
      <c r="AD54" s="3" t="s">
        <v>91</v>
      </c>
      <c r="AE54" t="str">
        <f t="shared" si="0"/>
        <v>Leah Pearson</v>
      </c>
      <c r="AF54" t="s">
        <v>1057</v>
      </c>
    </row>
    <row r="55" spans="1:32" x14ac:dyDescent="0.3">
      <c r="A55" s="3" t="s">
        <v>81</v>
      </c>
      <c r="B55" s="3" t="s">
        <v>82</v>
      </c>
      <c r="C55" s="3" t="s">
        <v>83</v>
      </c>
      <c r="D55" s="5">
        <v>45227</v>
      </c>
      <c r="E55" s="5">
        <v>45581</v>
      </c>
      <c r="F55" s="3" t="s">
        <v>30</v>
      </c>
      <c r="G55" s="3" t="s">
        <v>84</v>
      </c>
      <c r="H55" s="4">
        <v>965</v>
      </c>
      <c r="I55" s="4">
        <v>4062616</v>
      </c>
      <c r="J55" s="3" t="s">
        <v>347</v>
      </c>
      <c r="K55" s="3" t="s">
        <v>348</v>
      </c>
      <c r="L55" s="3" t="s">
        <v>349</v>
      </c>
      <c r="M55" s="5">
        <v>44652</v>
      </c>
      <c r="N55" s="3" t="s">
        <v>88</v>
      </c>
      <c r="O55" s="3" t="s">
        <v>89</v>
      </c>
      <c r="P55" s="3" t="s">
        <v>56</v>
      </c>
      <c r="Q55" s="6">
        <v>630.16</v>
      </c>
      <c r="R55" s="6">
        <v>630.16</v>
      </c>
      <c r="S55" s="5">
        <v>46195</v>
      </c>
      <c r="T55" s="3" t="s">
        <v>66</v>
      </c>
      <c r="U55" s="3" t="s">
        <v>79</v>
      </c>
      <c r="V55" s="3" t="s">
        <v>55</v>
      </c>
      <c r="W55" s="3" t="s">
        <v>32</v>
      </c>
      <c r="X55" s="3" t="s">
        <v>57</v>
      </c>
      <c r="Y55" s="3">
        <v>100271</v>
      </c>
      <c r="Z55" s="3" t="s">
        <v>318</v>
      </c>
      <c r="AA55" s="3">
        <v>100271</v>
      </c>
      <c r="AB55" s="3" t="s">
        <v>318</v>
      </c>
      <c r="AC55" s="4">
        <f ca="1">TODAY()-Open[[#This Row],[Status Date]]</f>
        <v>9</v>
      </c>
      <c r="AD55" s="3" t="s">
        <v>91</v>
      </c>
      <c r="AE55" t="str">
        <f t="shared" si="0"/>
        <v>Brooke Palmer</v>
      </c>
      <c r="AF55" t="s">
        <v>1057</v>
      </c>
    </row>
    <row r="56" spans="1:32" x14ac:dyDescent="0.3">
      <c r="A56" s="3" t="s">
        <v>81</v>
      </c>
      <c r="B56" s="3" t="s">
        <v>82</v>
      </c>
      <c r="C56" s="3" t="s">
        <v>83</v>
      </c>
      <c r="D56" s="5">
        <v>45227</v>
      </c>
      <c r="E56" s="5">
        <v>45581</v>
      </c>
      <c r="F56" s="3" t="s">
        <v>30</v>
      </c>
      <c r="G56" s="3" t="s">
        <v>84</v>
      </c>
      <c r="H56" s="4">
        <v>965</v>
      </c>
      <c r="I56" s="4">
        <v>4062626</v>
      </c>
      <c r="J56" s="3" t="s">
        <v>350</v>
      </c>
      <c r="K56" s="3" t="s">
        <v>351</v>
      </c>
      <c r="L56" s="3" t="s">
        <v>352</v>
      </c>
      <c r="M56" s="5">
        <v>44652</v>
      </c>
      <c r="N56" s="3" t="s">
        <v>88</v>
      </c>
      <c r="O56" s="3" t="s">
        <v>89</v>
      </c>
      <c r="P56" s="3" t="s">
        <v>56</v>
      </c>
      <c r="Q56" s="6">
        <v>930.16</v>
      </c>
      <c r="R56" s="6">
        <v>930.16</v>
      </c>
      <c r="S56" s="5">
        <v>46195</v>
      </c>
      <c r="T56" s="3" t="s">
        <v>66</v>
      </c>
      <c r="U56" s="3" t="s">
        <v>79</v>
      </c>
      <c r="V56" s="3" t="s">
        <v>55</v>
      </c>
      <c r="W56" s="3" t="s">
        <v>32</v>
      </c>
      <c r="X56" s="3" t="s">
        <v>57</v>
      </c>
      <c r="Y56" s="3">
        <v>100281</v>
      </c>
      <c r="Z56" s="3" t="s">
        <v>322</v>
      </c>
      <c r="AA56" s="3">
        <v>100281</v>
      </c>
      <c r="AB56" s="3" t="s">
        <v>322</v>
      </c>
      <c r="AC56" s="4">
        <f ca="1">TODAY()-Open[[#This Row],[Status Date]]</f>
        <v>9</v>
      </c>
      <c r="AD56" s="3" t="s">
        <v>91</v>
      </c>
      <c r="AE56" t="str">
        <f t="shared" si="0"/>
        <v>Grace Whitaker</v>
      </c>
      <c r="AF56" t="s">
        <v>1057</v>
      </c>
    </row>
    <row r="57" spans="1:32" x14ac:dyDescent="0.3">
      <c r="A57" s="3" t="s">
        <v>81</v>
      </c>
      <c r="B57" s="3" t="s">
        <v>82</v>
      </c>
      <c r="C57" s="3" t="s">
        <v>83</v>
      </c>
      <c r="D57" s="5">
        <v>45227</v>
      </c>
      <c r="E57" s="5">
        <v>45581</v>
      </c>
      <c r="F57" s="3" t="s">
        <v>30</v>
      </c>
      <c r="G57" s="3" t="s">
        <v>84</v>
      </c>
      <c r="H57" s="4">
        <v>965</v>
      </c>
      <c r="I57" s="4">
        <v>4062866</v>
      </c>
      <c r="J57" s="3" t="s">
        <v>353</v>
      </c>
      <c r="K57" s="3" t="s">
        <v>354</v>
      </c>
      <c r="L57" s="3" t="s">
        <v>355</v>
      </c>
      <c r="M57" s="5">
        <v>44652</v>
      </c>
      <c r="N57" s="3" t="s">
        <v>88</v>
      </c>
      <c r="O57" s="3" t="s">
        <v>89</v>
      </c>
      <c r="P57" s="3" t="s">
        <v>56</v>
      </c>
      <c r="Q57" s="6">
        <v>630.16</v>
      </c>
      <c r="R57" s="6">
        <v>630.16</v>
      </c>
      <c r="S57" s="5">
        <v>46195</v>
      </c>
      <c r="T57" s="3" t="s">
        <v>66</v>
      </c>
      <c r="U57" s="3" t="s">
        <v>79</v>
      </c>
      <c r="V57" s="3" t="s">
        <v>55</v>
      </c>
      <c r="W57" s="3" t="s">
        <v>32</v>
      </c>
      <c r="X57" s="3" t="s">
        <v>57</v>
      </c>
      <c r="Y57" s="3">
        <v>100111</v>
      </c>
      <c r="Z57" s="3" t="s">
        <v>90</v>
      </c>
      <c r="AA57" s="3">
        <v>100111</v>
      </c>
      <c r="AB57" s="3" t="s">
        <v>90</v>
      </c>
      <c r="AC57" s="4">
        <f ca="1">TODAY()-Open[[#This Row],[Status Date]]</f>
        <v>9</v>
      </c>
      <c r="AD57" s="3" t="s">
        <v>91</v>
      </c>
      <c r="AE57" t="str">
        <f t="shared" si="0"/>
        <v>Andrew Ross</v>
      </c>
      <c r="AF57" t="s">
        <v>1057</v>
      </c>
    </row>
    <row r="58" spans="1:32" x14ac:dyDescent="0.3">
      <c r="A58" s="3" t="s">
        <v>81</v>
      </c>
      <c r="B58" s="3" t="s">
        <v>82</v>
      </c>
      <c r="C58" s="3" t="s">
        <v>83</v>
      </c>
      <c r="D58" s="5">
        <v>45227</v>
      </c>
      <c r="E58" s="5">
        <v>45581</v>
      </c>
      <c r="F58" s="3" t="s">
        <v>30</v>
      </c>
      <c r="G58" s="3" t="s">
        <v>84</v>
      </c>
      <c r="H58" s="4">
        <v>965</v>
      </c>
      <c r="I58" s="4">
        <v>4062786</v>
      </c>
      <c r="J58" s="3" t="s">
        <v>356</v>
      </c>
      <c r="K58" s="3" t="s">
        <v>357</v>
      </c>
      <c r="L58" s="3" t="s">
        <v>358</v>
      </c>
      <c r="M58" s="5">
        <v>44652</v>
      </c>
      <c r="N58" s="3" t="s">
        <v>88</v>
      </c>
      <c r="O58" s="3" t="s">
        <v>89</v>
      </c>
      <c r="P58" s="3" t="s">
        <v>56</v>
      </c>
      <c r="Q58" s="6">
        <v>1575.9</v>
      </c>
      <c r="R58" s="6">
        <v>1575.9</v>
      </c>
      <c r="S58" s="5">
        <v>46195</v>
      </c>
      <c r="T58" s="3" t="s">
        <v>66</v>
      </c>
      <c r="U58" s="3" t="s">
        <v>79</v>
      </c>
      <c r="V58" s="3" t="s">
        <v>55</v>
      </c>
      <c r="W58" s="3" t="s">
        <v>32</v>
      </c>
      <c r="X58" s="3" t="s">
        <v>57</v>
      </c>
      <c r="Y58" s="3">
        <v>100121</v>
      </c>
      <c r="Z58" s="3" t="s">
        <v>103</v>
      </c>
      <c r="AA58" s="3">
        <v>100121</v>
      </c>
      <c r="AB58" s="3" t="s">
        <v>103</v>
      </c>
      <c r="AC58" s="4">
        <f ca="1">TODAY()-Open[[#This Row],[Status Date]]</f>
        <v>9</v>
      </c>
      <c r="AD58" s="3" t="s">
        <v>91</v>
      </c>
      <c r="AE58" t="str">
        <f t="shared" si="0"/>
        <v>Olivia Jenkins</v>
      </c>
      <c r="AF58" t="s">
        <v>1057</v>
      </c>
    </row>
    <row r="59" spans="1:32" x14ac:dyDescent="0.3">
      <c r="A59" s="3" t="s">
        <v>81</v>
      </c>
      <c r="B59" s="3" t="s">
        <v>82</v>
      </c>
      <c r="C59" s="3" t="s">
        <v>83</v>
      </c>
      <c r="D59" s="5">
        <v>45227</v>
      </c>
      <c r="E59" s="5">
        <v>45581</v>
      </c>
      <c r="F59" s="3" t="s">
        <v>30</v>
      </c>
      <c r="G59" s="3" t="s">
        <v>84</v>
      </c>
      <c r="H59" s="4">
        <v>965</v>
      </c>
      <c r="I59" s="4">
        <v>4062656</v>
      </c>
      <c r="J59" s="3" t="s">
        <v>359</v>
      </c>
      <c r="K59" s="3" t="s">
        <v>360</v>
      </c>
      <c r="L59" s="3" t="s">
        <v>361</v>
      </c>
      <c r="M59" s="5">
        <v>44652</v>
      </c>
      <c r="N59" s="3" t="s">
        <v>88</v>
      </c>
      <c r="O59" s="3" t="s">
        <v>89</v>
      </c>
      <c r="P59" s="3" t="s">
        <v>56</v>
      </c>
      <c r="Q59" s="6">
        <v>630.16</v>
      </c>
      <c r="R59" s="6">
        <v>630.16</v>
      </c>
      <c r="S59" s="5">
        <v>46195</v>
      </c>
      <c r="T59" s="3" t="s">
        <v>66</v>
      </c>
      <c r="U59" s="3" t="s">
        <v>79</v>
      </c>
      <c r="V59" s="3" t="s">
        <v>55</v>
      </c>
      <c r="W59" s="3" t="s">
        <v>32</v>
      </c>
      <c r="X59" s="3" t="s">
        <v>57</v>
      </c>
      <c r="Y59" s="3">
        <v>100151</v>
      </c>
      <c r="Z59" s="3" t="s">
        <v>108</v>
      </c>
      <c r="AA59" s="3">
        <v>100151</v>
      </c>
      <c r="AB59" s="3" t="s">
        <v>108</v>
      </c>
      <c r="AC59" s="4">
        <f ca="1">TODAY()-Open[[#This Row],[Status Date]]</f>
        <v>9</v>
      </c>
      <c r="AD59" s="3" t="s">
        <v>91</v>
      </c>
      <c r="AE59" t="str">
        <f t="shared" si="0"/>
        <v>Mason Reynolds</v>
      </c>
      <c r="AF59" t="s">
        <v>1057</v>
      </c>
    </row>
    <row r="60" spans="1:32" x14ac:dyDescent="0.3">
      <c r="A60" s="3" t="s">
        <v>81</v>
      </c>
      <c r="B60" s="3" t="s">
        <v>82</v>
      </c>
      <c r="C60" s="3" t="s">
        <v>83</v>
      </c>
      <c r="D60" s="5">
        <v>45227</v>
      </c>
      <c r="E60" s="5">
        <v>45581</v>
      </c>
      <c r="F60" s="3" t="s">
        <v>30</v>
      </c>
      <c r="G60" s="3" t="s">
        <v>84</v>
      </c>
      <c r="H60" s="4">
        <v>965</v>
      </c>
      <c r="I60" s="4">
        <v>4062796</v>
      </c>
      <c r="J60" s="3" t="s">
        <v>362</v>
      </c>
      <c r="K60" s="3" t="s">
        <v>363</v>
      </c>
      <c r="L60" s="3" t="s">
        <v>364</v>
      </c>
      <c r="M60" s="5">
        <v>44652</v>
      </c>
      <c r="N60" s="3" t="s">
        <v>88</v>
      </c>
      <c r="O60" s="3" t="s">
        <v>89</v>
      </c>
      <c r="P60" s="3" t="s">
        <v>56</v>
      </c>
      <c r="Q60" s="6">
        <v>630.16</v>
      </c>
      <c r="R60" s="6">
        <v>630.16</v>
      </c>
      <c r="S60" s="5">
        <v>46195</v>
      </c>
      <c r="T60" s="3" t="s">
        <v>66</v>
      </c>
      <c r="U60" s="3" t="s">
        <v>79</v>
      </c>
      <c r="V60" s="3" t="s">
        <v>55</v>
      </c>
      <c r="W60" s="3" t="s">
        <v>32</v>
      </c>
      <c r="X60" s="3" t="s">
        <v>57</v>
      </c>
      <c r="Y60" s="3">
        <v>100161</v>
      </c>
      <c r="Z60" s="3" t="s">
        <v>132</v>
      </c>
      <c r="AA60" s="3">
        <v>100161</v>
      </c>
      <c r="AB60" s="3" t="s">
        <v>132</v>
      </c>
      <c r="AC60" s="4">
        <f ca="1">TODAY()-Open[[#This Row],[Status Date]]</f>
        <v>9</v>
      </c>
      <c r="AD60" s="3" t="s">
        <v>91</v>
      </c>
      <c r="AE60" t="str">
        <f t="shared" si="0"/>
        <v>Connor Bishop</v>
      </c>
      <c r="AF60" t="s">
        <v>1057</v>
      </c>
    </row>
    <row r="61" spans="1:32" x14ac:dyDescent="0.3">
      <c r="A61" s="3" t="s">
        <v>81</v>
      </c>
      <c r="B61" s="3" t="s">
        <v>82</v>
      </c>
      <c r="C61" s="3" t="s">
        <v>83</v>
      </c>
      <c r="D61" s="5">
        <v>45227</v>
      </c>
      <c r="E61" s="5">
        <v>45581</v>
      </c>
      <c r="F61" s="3" t="s">
        <v>30</v>
      </c>
      <c r="G61" s="3" t="s">
        <v>84</v>
      </c>
      <c r="H61" s="4">
        <v>965</v>
      </c>
      <c r="I61" s="4">
        <v>4062776</v>
      </c>
      <c r="J61" s="3" t="s">
        <v>365</v>
      </c>
      <c r="K61" s="3" t="s">
        <v>366</v>
      </c>
      <c r="L61" s="3" t="s">
        <v>367</v>
      </c>
      <c r="M61" s="5">
        <v>44652</v>
      </c>
      <c r="N61" s="3" t="s">
        <v>88</v>
      </c>
      <c r="O61" s="3" t="s">
        <v>89</v>
      </c>
      <c r="P61" s="3" t="s">
        <v>56</v>
      </c>
      <c r="Q61" s="6">
        <v>600</v>
      </c>
      <c r="R61" s="6">
        <v>600</v>
      </c>
      <c r="S61" s="5">
        <v>46195</v>
      </c>
      <c r="T61" s="3" t="s">
        <v>66</v>
      </c>
      <c r="U61" s="3" t="s">
        <v>79</v>
      </c>
      <c r="V61" s="3" t="s">
        <v>55</v>
      </c>
      <c r="W61" s="3" t="s">
        <v>32</v>
      </c>
      <c r="X61" s="3" t="s">
        <v>57</v>
      </c>
      <c r="Y61" s="3">
        <v>100191</v>
      </c>
      <c r="Z61" s="3" t="s">
        <v>137</v>
      </c>
      <c r="AA61" s="3">
        <v>100191</v>
      </c>
      <c r="AB61" s="3" t="s">
        <v>137</v>
      </c>
      <c r="AC61" s="4">
        <f ca="1">TODAY()-Open[[#This Row],[Status Date]]</f>
        <v>9</v>
      </c>
      <c r="AD61" s="3" t="s">
        <v>91</v>
      </c>
      <c r="AE61" t="str">
        <f t="shared" si="0"/>
        <v>Dominic Flores</v>
      </c>
      <c r="AF61" t="s">
        <v>1057</v>
      </c>
    </row>
    <row r="62" spans="1:32" x14ac:dyDescent="0.3">
      <c r="A62" s="3" t="s">
        <v>81</v>
      </c>
      <c r="B62" s="3" t="s">
        <v>82</v>
      </c>
      <c r="C62" s="3" t="s">
        <v>83</v>
      </c>
      <c r="D62" s="5">
        <v>45232</v>
      </c>
      <c r="E62" s="5">
        <v>45273</v>
      </c>
      <c r="F62" s="3" t="s">
        <v>30</v>
      </c>
      <c r="G62" s="3" t="s">
        <v>84</v>
      </c>
      <c r="H62" s="4">
        <v>960</v>
      </c>
      <c r="I62" s="4">
        <v>4062646</v>
      </c>
      <c r="J62" s="3" t="s">
        <v>371</v>
      </c>
      <c r="K62" s="3" t="s">
        <v>372</v>
      </c>
      <c r="L62" s="3" t="s">
        <v>373</v>
      </c>
      <c r="M62" s="5">
        <v>45222</v>
      </c>
      <c r="N62" s="3" t="s">
        <v>88</v>
      </c>
      <c r="O62" s="3" t="s">
        <v>89</v>
      </c>
      <c r="P62" s="3" t="s">
        <v>51</v>
      </c>
      <c r="Q62" s="6">
        <v>1476.07</v>
      </c>
      <c r="R62" s="6">
        <v>1476.07</v>
      </c>
      <c r="S62" s="5">
        <v>46195</v>
      </c>
      <c r="T62" s="3" t="s">
        <v>72</v>
      </c>
      <c r="U62" s="3" t="s">
        <v>112</v>
      </c>
      <c r="V62" s="3" t="s">
        <v>55</v>
      </c>
      <c r="W62" s="3" t="s">
        <v>32</v>
      </c>
      <c r="X62" s="3" t="s">
        <v>52</v>
      </c>
      <c r="Y62" s="3">
        <v>100181</v>
      </c>
      <c r="Z62" s="3" t="s">
        <v>127</v>
      </c>
      <c r="AA62" s="3">
        <v>100151</v>
      </c>
      <c r="AB62" s="3" t="s">
        <v>108</v>
      </c>
      <c r="AC62" s="4">
        <f ca="1">TODAY()-Open[[#This Row],[Status Date]]</f>
        <v>9</v>
      </c>
      <c r="AD62" s="3" t="s">
        <v>91</v>
      </c>
      <c r="AE62" t="str">
        <f t="shared" si="0"/>
        <v>Mason Reynolds</v>
      </c>
      <c r="AF62" t="s">
        <v>1054</v>
      </c>
    </row>
    <row r="63" spans="1:32" x14ac:dyDescent="0.3">
      <c r="A63" s="3" t="s">
        <v>81</v>
      </c>
      <c r="B63" s="3" t="s">
        <v>82</v>
      </c>
      <c r="C63" s="3" t="s">
        <v>83</v>
      </c>
      <c r="D63" s="5">
        <v>45233</v>
      </c>
      <c r="E63" s="5">
        <v>45273</v>
      </c>
      <c r="F63" s="3" t="s">
        <v>30</v>
      </c>
      <c r="G63" s="3" t="s">
        <v>84</v>
      </c>
      <c r="H63" s="4">
        <v>959</v>
      </c>
      <c r="I63" s="4">
        <v>4068116</v>
      </c>
      <c r="J63" s="3" t="s">
        <v>388</v>
      </c>
      <c r="K63" s="3" t="s">
        <v>389</v>
      </c>
      <c r="L63" s="3" t="s">
        <v>390</v>
      </c>
      <c r="M63" s="5">
        <v>45226</v>
      </c>
      <c r="N63" s="3" t="s">
        <v>88</v>
      </c>
      <c r="O63" s="3" t="s">
        <v>89</v>
      </c>
      <c r="P63" s="3" t="s">
        <v>44</v>
      </c>
      <c r="Q63" s="6">
        <v>250</v>
      </c>
      <c r="R63" s="6">
        <v>250</v>
      </c>
      <c r="S63" s="5">
        <v>46195</v>
      </c>
      <c r="T63" s="3" t="s">
        <v>72</v>
      </c>
      <c r="U63" s="3" t="s">
        <v>112</v>
      </c>
      <c r="V63" s="3" t="s">
        <v>55</v>
      </c>
      <c r="W63" s="3" t="s">
        <v>32</v>
      </c>
      <c r="X63" s="3" t="s">
        <v>45</v>
      </c>
      <c r="Y63" s="3">
        <v>100221</v>
      </c>
      <c r="Z63" s="3" t="s">
        <v>131</v>
      </c>
      <c r="AA63" s="3">
        <v>100161</v>
      </c>
      <c r="AB63" s="3" t="s">
        <v>132</v>
      </c>
      <c r="AC63" s="4">
        <f ca="1">TODAY()-Open[[#This Row],[Status Date]]</f>
        <v>9</v>
      </c>
      <c r="AD63" s="3" t="s">
        <v>91</v>
      </c>
      <c r="AE63" t="str">
        <f t="shared" si="0"/>
        <v>Connor Bishop</v>
      </c>
      <c r="AF63" t="s">
        <v>1053</v>
      </c>
    </row>
    <row r="64" spans="1:32" x14ac:dyDescent="0.3">
      <c r="A64" s="3" t="s">
        <v>81</v>
      </c>
      <c r="B64" s="3" t="s">
        <v>82</v>
      </c>
      <c r="C64" s="3" t="s">
        <v>83</v>
      </c>
      <c r="D64" s="5">
        <v>45252</v>
      </c>
      <c r="E64" s="5">
        <v>45275</v>
      </c>
      <c r="F64" s="3" t="s">
        <v>30</v>
      </c>
      <c r="G64" s="3" t="s">
        <v>84</v>
      </c>
      <c r="H64" s="4">
        <v>940</v>
      </c>
      <c r="I64" s="4">
        <v>4072056</v>
      </c>
      <c r="J64" s="3" t="s">
        <v>391</v>
      </c>
      <c r="K64" s="3" t="s">
        <v>392</v>
      </c>
      <c r="L64" s="3" t="s">
        <v>393</v>
      </c>
      <c r="M64" s="5">
        <v>45250</v>
      </c>
      <c r="N64" s="3" t="s">
        <v>88</v>
      </c>
      <c r="O64" s="3" t="s">
        <v>89</v>
      </c>
      <c r="P64" s="3" t="s">
        <v>51</v>
      </c>
      <c r="Q64" s="6">
        <v>2666.68</v>
      </c>
      <c r="R64" s="6">
        <v>2666.68</v>
      </c>
      <c r="S64" s="5">
        <v>46195</v>
      </c>
      <c r="T64" s="3" t="s">
        <v>72</v>
      </c>
      <c r="U64" s="3" t="s">
        <v>112</v>
      </c>
      <c r="V64" s="3" t="s">
        <v>55</v>
      </c>
      <c r="W64" s="3" t="s">
        <v>32</v>
      </c>
      <c r="X64" s="3" t="s">
        <v>52</v>
      </c>
      <c r="Y64" s="3">
        <v>100261</v>
      </c>
      <c r="Z64" s="3" t="s">
        <v>136</v>
      </c>
      <c r="AA64" s="3">
        <v>100191</v>
      </c>
      <c r="AB64" s="3" t="s">
        <v>137</v>
      </c>
      <c r="AC64" s="4">
        <f ca="1">TODAY()-Open[[#This Row],[Status Date]]</f>
        <v>9</v>
      </c>
      <c r="AD64" s="3" t="s">
        <v>91</v>
      </c>
      <c r="AE64" t="str">
        <f t="shared" si="0"/>
        <v>Dominic Flores</v>
      </c>
      <c r="AF64" t="s">
        <v>1054</v>
      </c>
    </row>
    <row r="65" spans="1:32" x14ac:dyDescent="0.3">
      <c r="A65" s="3" t="s">
        <v>81</v>
      </c>
      <c r="B65" s="3" t="s">
        <v>82</v>
      </c>
      <c r="C65" s="3" t="s">
        <v>83</v>
      </c>
      <c r="D65" s="5">
        <v>45269</v>
      </c>
      <c r="E65" s="5">
        <v>45273</v>
      </c>
      <c r="F65" s="3" t="s">
        <v>30</v>
      </c>
      <c r="G65" s="3" t="s">
        <v>84</v>
      </c>
      <c r="H65" s="4">
        <v>923</v>
      </c>
      <c r="I65" s="4">
        <v>4090616</v>
      </c>
      <c r="J65" s="3" t="s">
        <v>394</v>
      </c>
      <c r="K65" s="3" t="s">
        <v>395</v>
      </c>
      <c r="L65" s="3" t="s">
        <v>396</v>
      </c>
      <c r="M65" s="5">
        <v>45251</v>
      </c>
      <c r="N65" s="3" t="s">
        <v>88</v>
      </c>
      <c r="O65" s="3" t="s">
        <v>89</v>
      </c>
      <c r="P65" s="3" t="s">
        <v>51</v>
      </c>
      <c r="Q65" s="6">
        <v>564.30999999999995</v>
      </c>
      <c r="R65" s="6">
        <v>564.30999999999995</v>
      </c>
      <c r="S65" s="5">
        <v>46195</v>
      </c>
      <c r="T65" s="3" t="s">
        <v>72</v>
      </c>
      <c r="U65" s="3" t="s">
        <v>112</v>
      </c>
      <c r="V65" s="3" t="s">
        <v>55</v>
      </c>
      <c r="W65" s="3" t="s">
        <v>32</v>
      </c>
      <c r="X65" s="3" t="s">
        <v>52</v>
      </c>
      <c r="Y65" s="3">
        <v>100101</v>
      </c>
      <c r="Z65" s="3" t="s">
        <v>113</v>
      </c>
      <c r="AA65" s="3">
        <v>100111</v>
      </c>
      <c r="AB65" s="3" t="s">
        <v>90</v>
      </c>
      <c r="AC65" s="4">
        <f ca="1">TODAY()-Open[[#This Row],[Status Date]]</f>
        <v>9</v>
      </c>
      <c r="AD65" s="3" t="s">
        <v>91</v>
      </c>
      <c r="AE65" t="str">
        <f t="shared" si="0"/>
        <v>Andrew Ross</v>
      </c>
      <c r="AF65" t="s">
        <v>1054</v>
      </c>
    </row>
    <row r="66" spans="1:32" x14ac:dyDescent="0.3">
      <c r="A66" s="3" t="s">
        <v>81</v>
      </c>
      <c r="B66" s="3" t="s">
        <v>82</v>
      </c>
      <c r="C66" s="3" t="s">
        <v>83</v>
      </c>
      <c r="D66" s="5">
        <v>45274</v>
      </c>
      <c r="E66" s="5">
        <v>45275</v>
      </c>
      <c r="F66" s="3" t="s">
        <v>30</v>
      </c>
      <c r="G66" s="3" t="s">
        <v>84</v>
      </c>
      <c r="H66" s="4">
        <v>918</v>
      </c>
      <c r="I66" s="4">
        <v>4094056</v>
      </c>
      <c r="J66" s="3" t="s">
        <v>397</v>
      </c>
      <c r="K66" s="3" t="s">
        <v>398</v>
      </c>
      <c r="L66" s="3" t="s">
        <v>399</v>
      </c>
      <c r="M66" s="5">
        <v>45272</v>
      </c>
      <c r="N66" s="3" t="s">
        <v>88</v>
      </c>
      <c r="O66" s="3" t="s">
        <v>89</v>
      </c>
      <c r="P66" s="3" t="s">
        <v>51</v>
      </c>
      <c r="Q66" s="6">
        <v>760.21</v>
      </c>
      <c r="R66" s="6">
        <v>760.21</v>
      </c>
      <c r="S66" s="5">
        <v>46195</v>
      </c>
      <c r="T66" s="3" t="s">
        <v>72</v>
      </c>
      <c r="U66" s="3" t="s">
        <v>112</v>
      </c>
      <c r="V66" s="3" t="s">
        <v>55</v>
      </c>
      <c r="W66" s="3" t="s">
        <v>32</v>
      </c>
      <c r="X66" s="3" t="s">
        <v>52</v>
      </c>
      <c r="Y66" s="3">
        <v>100141</v>
      </c>
      <c r="Z66" s="3" t="s">
        <v>123</v>
      </c>
      <c r="AA66" s="3">
        <v>100121</v>
      </c>
      <c r="AB66" s="3" t="s">
        <v>103</v>
      </c>
      <c r="AC66" s="4">
        <f ca="1">TODAY()-Open[[#This Row],[Status Date]]</f>
        <v>9</v>
      </c>
      <c r="AD66" s="3" t="s">
        <v>91</v>
      </c>
      <c r="AE66" t="str">
        <f t="shared" ref="AE66:AE129" si="1">AB66</f>
        <v>Olivia Jenkins</v>
      </c>
      <c r="AF66" t="s">
        <v>1054</v>
      </c>
    </row>
    <row r="67" spans="1:32" x14ac:dyDescent="0.3">
      <c r="A67" s="3" t="s">
        <v>81</v>
      </c>
      <c r="B67" s="3" t="s">
        <v>82</v>
      </c>
      <c r="C67" s="3" t="s">
        <v>83</v>
      </c>
      <c r="D67" s="5">
        <v>45297</v>
      </c>
      <c r="E67" s="5">
        <v>46162</v>
      </c>
      <c r="F67" s="3" t="s">
        <v>30</v>
      </c>
      <c r="G67" s="3" t="s">
        <v>84</v>
      </c>
      <c r="H67" s="4">
        <v>895</v>
      </c>
      <c r="I67" s="4">
        <v>4094086</v>
      </c>
      <c r="J67" s="3" t="s">
        <v>400</v>
      </c>
      <c r="K67" s="3" t="s">
        <v>401</v>
      </c>
      <c r="L67" s="3" t="s">
        <v>402</v>
      </c>
      <c r="M67" s="5">
        <v>45294</v>
      </c>
      <c r="N67" s="3" t="s">
        <v>403</v>
      </c>
      <c r="O67" s="3" t="s">
        <v>404</v>
      </c>
      <c r="P67" s="3" t="s">
        <v>48</v>
      </c>
      <c r="Q67" s="6">
        <v>16313.22</v>
      </c>
      <c r="R67" s="6">
        <v>16313.22</v>
      </c>
      <c r="S67" s="5">
        <v>46188</v>
      </c>
      <c r="T67" s="3" t="s">
        <v>74</v>
      </c>
      <c r="U67" s="3" t="s">
        <v>75</v>
      </c>
      <c r="V67" s="3" t="s">
        <v>49</v>
      </c>
      <c r="W67" s="3" t="s">
        <v>80</v>
      </c>
      <c r="X67" s="3" t="s">
        <v>50</v>
      </c>
      <c r="Y67" s="3">
        <v>100251</v>
      </c>
      <c r="Z67" s="3" t="s">
        <v>405</v>
      </c>
      <c r="AA67" s="3">
        <v>100161</v>
      </c>
      <c r="AB67" s="3" t="s">
        <v>132</v>
      </c>
      <c r="AC67" s="4">
        <f ca="1">TODAY()-Open[[#This Row],[Status Date]]</f>
        <v>16</v>
      </c>
      <c r="AD67" s="3" t="s">
        <v>91</v>
      </c>
      <c r="AE67" t="str">
        <f t="shared" si="1"/>
        <v>Connor Bishop</v>
      </c>
      <c r="AF67" t="s">
        <v>1058</v>
      </c>
    </row>
    <row r="68" spans="1:32" x14ac:dyDescent="0.3">
      <c r="A68" s="3" t="s">
        <v>81</v>
      </c>
      <c r="B68" s="3" t="s">
        <v>82</v>
      </c>
      <c r="C68" s="3" t="s">
        <v>83</v>
      </c>
      <c r="D68" s="5">
        <v>45336</v>
      </c>
      <c r="E68" s="5">
        <v>46162</v>
      </c>
      <c r="F68" s="3" t="s">
        <v>30</v>
      </c>
      <c r="G68" s="3" t="s">
        <v>84</v>
      </c>
      <c r="H68" s="4">
        <v>856</v>
      </c>
      <c r="I68" s="4">
        <v>4131055</v>
      </c>
      <c r="J68" s="3" t="s">
        <v>409</v>
      </c>
      <c r="K68" s="3" t="s">
        <v>410</v>
      </c>
      <c r="L68" s="3" t="s">
        <v>411</v>
      </c>
      <c r="M68" s="5">
        <v>45118</v>
      </c>
      <c r="N68" s="3" t="s">
        <v>403</v>
      </c>
      <c r="O68" s="3" t="s">
        <v>404</v>
      </c>
      <c r="P68" s="3" t="s">
        <v>34</v>
      </c>
      <c r="Q68" s="6">
        <v>1621.76</v>
      </c>
      <c r="R68" s="6">
        <v>1621.76</v>
      </c>
      <c r="S68" s="5">
        <v>46188</v>
      </c>
      <c r="T68" s="3" t="s">
        <v>66</v>
      </c>
      <c r="U68" s="3" t="s">
        <v>79</v>
      </c>
      <c r="V68" s="3" t="s">
        <v>49</v>
      </c>
      <c r="W68" s="3" t="s">
        <v>80</v>
      </c>
      <c r="X68" s="3" t="s">
        <v>35</v>
      </c>
      <c r="Y68" s="3">
        <v>100201</v>
      </c>
      <c r="Z68" s="3" t="s">
        <v>306</v>
      </c>
      <c r="AA68" s="3">
        <v>100201</v>
      </c>
      <c r="AB68" s="3" t="s">
        <v>306</v>
      </c>
      <c r="AC68" s="4">
        <f ca="1">TODAY()-Open[[#This Row],[Status Date]]</f>
        <v>16</v>
      </c>
      <c r="AD68" s="3" t="s">
        <v>91</v>
      </c>
      <c r="AE68" t="str">
        <f t="shared" si="1"/>
        <v>Aiden Harper</v>
      </c>
      <c r="AF68" t="s">
        <v>1055</v>
      </c>
    </row>
    <row r="69" spans="1:32" x14ac:dyDescent="0.3">
      <c r="A69" s="3" t="s">
        <v>81</v>
      </c>
      <c r="B69" s="3" t="s">
        <v>82</v>
      </c>
      <c r="C69" s="3" t="s">
        <v>83</v>
      </c>
      <c r="D69" s="5">
        <v>45378</v>
      </c>
      <c r="E69" s="5">
        <v>45810</v>
      </c>
      <c r="F69" s="3" t="s">
        <v>30</v>
      </c>
      <c r="G69" s="3" t="s">
        <v>84</v>
      </c>
      <c r="H69" s="4">
        <v>814</v>
      </c>
      <c r="I69" s="4">
        <v>4137025</v>
      </c>
      <c r="J69" s="3" t="s">
        <v>415</v>
      </c>
      <c r="K69" s="3" t="s">
        <v>416</v>
      </c>
      <c r="L69" s="3" t="s">
        <v>417</v>
      </c>
      <c r="M69" s="5">
        <v>45273</v>
      </c>
      <c r="N69" s="3" t="s">
        <v>88</v>
      </c>
      <c r="O69" s="3" t="s">
        <v>89</v>
      </c>
      <c r="P69" s="3" t="s">
        <v>53</v>
      </c>
      <c r="Q69" s="6">
        <v>6807.5</v>
      </c>
      <c r="R69" s="6">
        <v>6807.5</v>
      </c>
      <c r="S69" s="5">
        <v>46195</v>
      </c>
      <c r="T69" s="3" t="s">
        <v>66</v>
      </c>
      <c r="U69" s="3" t="s">
        <v>79</v>
      </c>
      <c r="V69" s="3" t="s">
        <v>55</v>
      </c>
      <c r="W69" s="3" t="s">
        <v>32</v>
      </c>
      <c r="X69" s="3" t="s">
        <v>54</v>
      </c>
      <c r="Y69" s="3">
        <v>100231</v>
      </c>
      <c r="Z69" s="3" t="s">
        <v>310</v>
      </c>
      <c r="AA69" s="3">
        <v>100231</v>
      </c>
      <c r="AB69" s="3" t="s">
        <v>310</v>
      </c>
      <c r="AC69" s="4">
        <f ca="1">TODAY()-Open[[#This Row],[Status Date]]</f>
        <v>9</v>
      </c>
      <c r="AD69" s="3" t="s">
        <v>91</v>
      </c>
      <c r="AE69" t="str">
        <f t="shared" si="1"/>
        <v>Jackson Norris</v>
      </c>
      <c r="AF69" t="s">
        <v>1056</v>
      </c>
    </row>
    <row r="70" spans="1:32" x14ac:dyDescent="0.3">
      <c r="A70" s="3" t="s">
        <v>81</v>
      </c>
      <c r="B70" s="3" t="s">
        <v>82</v>
      </c>
      <c r="C70" s="3" t="s">
        <v>83</v>
      </c>
      <c r="D70" s="5">
        <v>45378</v>
      </c>
      <c r="E70" s="5">
        <v>45810</v>
      </c>
      <c r="F70" s="3" t="s">
        <v>30</v>
      </c>
      <c r="G70" s="3" t="s">
        <v>84</v>
      </c>
      <c r="H70" s="4">
        <v>814</v>
      </c>
      <c r="I70" s="4">
        <v>4137275</v>
      </c>
      <c r="J70" s="3" t="s">
        <v>418</v>
      </c>
      <c r="K70" s="3" t="s">
        <v>419</v>
      </c>
      <c r="L70" s="3" t="s">
        <v>420</v>
      </c>
      <c r="M70" s="5">
        <v>45281</v>
      </c>
      <c r="N70" s="3" t="s">
        <v>88</v>
      </c>
      <c r="O70" s="3" t="s">
        <v>89</v>
      </c>
      <c r="P70" s="3" t="s">
        <v>53</v>
      </c>
      <c r="Q70" s="6">
        <v>6965</v>
      </c>
      <c r="R70" s="6">
        <v>6965</v>
      </c>
      <c r="S70" s="5">
        <v>46195</v>
      </c>
      <c r="T70" s="3" t="s">
        <v>66</v>
      </c>
      <c r="U70" s="3" t="s">
        <v>79</v>
      </c>
      <c r="V70" s="3" t="s">
        <v>55</v>
      </c>
      <c r="W70" s="3" t="s">
        <v>32</v>
      </c>
      <c r="X70" s="3" t="s">
        <v>54</v>
      </c>
      <c r="Y70" s="3">
        <v>100241</v>
      </c>
      <c r="Z70" s="3" t="s">
        <v>314</v>
      </c>
      <c r="AA70" s="3">
        <v>100241</v>
      </c>
      <c r="AB70" s="3" t="s">
        <v>314</v>
      </c>
      <c r="AC70" s="4">
        <f ca="1">TODAY()-Open[[#This Row],[Status Date]]</f>
        <v>9</v>
      </c>
      <c r="AD70" s="3" t="s">
        <v>91</v>
      </c>
      <c r="AE70" t="str">
        <f t="shared" si="1"/>
        <v>Leah Pearson</v>
      </c>
      <c r="AF70" t="s">
        <v>1056</v>
      </c>
    </row>
    <row r="71" spans="1:32" x14ac:dyDescent="0.3">
      <c r="A71" s="3" t="s">
        <v>81</v>
      </c>
      <c r="B71" s="3" t="s">
        <v>82</v>
      </c>
      <c r="C71" s="3" t="s">
        <v>83</v>
      </c>
      <c r="D71" s="5">
        <v>45378</v>
      </c>
      <c r="E71" s="5">
        <v>45810</v>
      </c>
      <c r="F71" s="3" t="s">
        <v>30</v>
      </c>
      <c r="G71" s="3" t="s">
        <v>84</v>
      </c>
      <c r="H71" s="4">
        <v>814</v>
      </c>
      <c r="I71" s="4">
        <v>4135185</v>
      </c>
      <c r="J71" s="3" t="s">
        <v>421</v>
      </c>
      <c r="K71" s="3" t="s">
        <v>422</v>
      </c>
      <c r="L71" s="3" t="s">
        <v>423</v>
      </c>
      <c r="M71" s="5">
        <v>45224</v>
      </c>
      <c r="N71" s="3" t="s">
        <v>88</v>
      </c>
      <c r="O71" s="3" t="s">
        <v>89</v>
      </c>
      <c r="P71" s="3" t="s">
        <v>53</v>
      </c>
      <c r="Q71" s="6">
        <v>5986.25</v>
      </c>
      <c r="R71" s="6">
        <v>5986.25</v>
      </c>
      <c r="S71" s="5">
        <v>46195</v>
      </c>
      <c r="T71" s="3" t="s">
        <v>66</v>
      </c>
      <c r="U71" s="3" t="s">
        <v>79</v>
      </c>
      <c r="V71" s="3" t="s">
        <v>55</v>
      </c>
      <c r="W71" s="3" t="s">
        <v>32</v>
      </c>
      <c r="X71" s="3" t="s">
        <v>54</v>
      </c>
      <c r="Y71" s="3">
        <v>100271</v>
      </c>
      <c r="Z71" s="3" t="s">
        <v>318</v>
      </c>
      <c r="AA71" s="3">
        <v>100271</v>
      </c>
      <c r="AB71" s="3" t="s">
        <v>318</v>
      </c>
      <c r="AC71" s="4">
        <f ca="1">TODAY()-Open[[#This Row],[Status Date]]</f>
        <v>9</v>
      </c>
      <c r="AD71" s="3" t="s">
        <v>91</v>
      </c>
      <c r="AE71" t="str">
        <f t="shared" si="1"/>
        <v>Brooke Palmer</v>
      </c>
      <c r="AF71" t="s">
        <v>1056</v>
      </c>
    </row>
    <row r="72" spans="1:32" x14ac:dyDescent="0.3">
      <c r="A72" s="3" t="s">
        <v>81</v>
      </c>
      <c r="B72" s="3" t="s">
        <v>82</v>
      </c>
      <c r="C72" s="3" t="s">
        <v>83</v>
      </c>
      <c r="D72" s="5">
        <v>45378</v>
      </c>
      <c r="E72" s="5">
        <v>45810</v>
      </c>
      <c r="F72" s="3" t="s">
        <v>30</v>
      </c>
      <c r="G72" s="3" t="s">
        <v>84</v>
      </c>
      <c r="H72" s="4">
        <v>814</v>
      </c>
      <c r="I72" s="4">
        <v>4145755</v>
      </c>
      <c r="J72" s="3" t="s">
        <v>424</v>
      </c>
      <c r="K72" s="3" t="s">
        <v>425</v>
      </c>
      <c r="L72" s="3" t="s">
        <v>426</v>
      </c>
      <c r="M72" s="5">
        <v>45224</v>
      </c>
      <c r="N72" s="3" t="s">
        <v>88</v>
      </c>
      <c r="O72" s="3" t="s">
        <v>89</v>
      </c>
      <c r="P72" s="3" t="s">
        <v>53</v>
      </c>
      <c r="Q72" s="6">
        <v>5986.25</v>
      </c>
      <c r="R72" s="6">
        <v>5986.25</v>
      </c>
      <c r="S72" s="5">
        <v>46195</v>
      </c>
      <c r="T72" s="3" t="s">
        <v>66</v>
      </c>
      <c r="U72" s="3" t="s">
        <v>79</v>
      </c>
      <c r="V72" s="3" t="s">
        <v>55</v>
      </c>
      <c r="W72" s="3" t="s">
        <v>32</v>
      </c>
      <c r="X72" s="3" t="s">
        <v>54</v>
      </c>
      <c r="Y72" s="3">
        <v>100281</v>
      </c>
      <c r="Z72" s="3" t="s">
        <v>322</v>
      </c>
      <c r="AA72" s="3">
        <v>100281</v>
      </c>
      <c r="AB72" s="3" t="s">
        <v>322</v>
      </c>
      <c r="AC72" s="4">
        <f ca="1">TODAY()-Open[[#This Row],[Status Date]]</f>
        <v>9</v>
      </c>
      <c r="AD72" s="3" t="s">
        <v>91</v>
      </c>
      <c r="AE72" t="str">
        <f t="shared" si="1"/>
        <v>Grace Whitaker</v>
      </c>
      <c r="AF72" t="s">
        <v>1056</v>
      </c>
    </row>
    <row r="73" spans="1:32" x14ac:dyDescent="0.3">
      <c r="A73" s="3" t="s">
        <v>81</v>
      </c>
      <c r="B73" s="3" t="s">
        <v>82</v>
      </c>
      <c r="C73" s="3" t="s">
        <v>83</v>
      </c>
      <c r="D73" s="5">
        <v>45520</v>
      </c>
      <c r="E73" s="5">
        <v>45820</v>
      </c>
      <c r="F73" s="3" t="s">
        <v>30</v>
      </c>
      <c r="G73" s="3" t="s">
        <v>84</v>
      </c>
      <c r="H73" s="4">
        <v>672</v>
      </c>
      <c r="I73" s="4">
        <v>4228514</v>
      </c>
      <c r="J73" s="3" t="s">
        <v>430</v>
      </c>
      <c r="K73" s="3" t="s">
        <v>431</v>
      </c>
      <c r="L73" s="3" t="s">
        <v>432</v>
      </c>
      <c r="M73" s="5">
        <v>45497</v>
      </c>
      <c r="N73" s="3" t="s">
        <v>88</v>
      </c>
      <c r="O73" s="3" t="s">
        <v>89</v>
      </c>
      <c r="P73" s="3" t="s">
        <v>56</v>
      </c>
      <c r="Q73" s="6">
        <v>8.2200000000000006</v>
      </c>
      <c r="R73" s="6">
        <v>657.5</v>
      </c>
      <c r="S73" s="5">
        <v>46195</v>
      </c>
      <c r="T73" s="3" t="s">
        <v>66</v>
      </c>
      <c r="U73" s="3" t="s">
        <v>79</v>
      </c>
      <c r="V73" s="3" t="s">
        <v>55</v>
      </c>
      <c r="W73" s="3" t="s">
        <v>32</v>
      </c>
      <c r="X73" s="3" t="s">
        <v>57</v>
      </c>
      <c r="Y73" s="3">
        <v>100111</v>
      </c>
      <c r="Z73" s="3" t="s">
        <v>90</v>
      </c>
      <c r="AA73" s="3">
        <v>100111</v>
      </c>
      <c r="AB73" s="3" t="s">
        <v>90</v>
      </c>
      <c r="AC73" s="4">
        <f ca="1">TODAY()-Open[[#This Row],[Status Date]]</f>
        <v>9</v>
      </c>
      <c r="AD73" s="3" t="s">
        <v>91</v>
      </c>
      <c r="AE73" t="str">
        <f t="shared" si="1"/>
        <v>Andrew Ross</v>
      </c>
      <c r="AF73" t="s">
        <v>1057</v>
      </c>
    </row>
    <row r="74" spans="1:32" x14ac:dyDescent="0.3">
      <c r="A74" s="3" t="s">
        <v>81</v>
      </c>
      <c r="B74" s="3" t="s">
        <v>82</v>
      </c>
      <c r="C74" s="3" t="s">
        <v>83</v>
      </c>
      <c r="D74" s="5">
        <v>45520</v>
      </c>
      <c r="E74" s="5">
        <v>45820</v>
      </c>
      <c r="F74" s="3" t="s">
        <v>30</v>
      </c>
      <c r="G74" s="3" t="s">
        <v>84</v>
      </c>
      <c r="H74" s="4">
        <v>672</v>
      </c>
      <c r="I74" s="4">
        <v>4228134</v>
      </c>
      <c r="J74" s="3" t="s">
        <v>433</v>
      </c>
      <c r="K74" s="3" t="s">
        <v>434</v>
      </c>
      <c r="L74" s="3" t="s">
        <v>435</v>
      </c>
      <c r="M74" s="5">
        <v>45497</v>
      </c>
      <c r="N74" s="3" t="s">
        <v>88</v>
      </c>
      <c r="O74" s="3" t="s">
        <v>89</v>
      </c>
      <c r="P74" s="3" t="s">
        <v>56</v>
      </c>
      <c r="Q74" s="6">
        <v>3.84</v>
      </c>
      <c r="R74" s="6">
        <v>307.5</v>
      </c>
      <c r="S74" s="5">
        <v>46195</v>
      </c>
      <c r="T74" s="3" t="s">
        <v>66</v>
      </c>
      <c r="U74" s="3" t="s">
        <v>79</v>
      </c>
      <c r="V74" s="3" t="s">
        <v>55</v>
      </c>
      <c r="W74" s="3" t="s">
        <v>32</v>
      </c>
      <c r="X74" s="3" t="s">
        <v>57</v>
      </c>
      <c r="Y74" s="3">
        <v>100121</v>
      </c>
      <c r="Z74" s="3" t="s">
        <v>103</v>
      </c>
      <c r="AA74" s="3">
        <v>100121</v>
      </c>
      <c r="AB74" s="3" t="s">
        <v>103</v>
      </c>
      <c r="AC74" s="4">
        <f ca="1">TODAY()-Open[[#This Row],[Status Date]]</f>
        <v>9</v>
      </c>
      <c r="AD74" s="3" t="s">
        <v>91</v>
      </c>
      <c r="AE74" t="str">
        <f t="shared" si="1"/>
        <v>Olivia Jenkins</v>
      </c>
      <c r="AF74" t="s">
        <v>1057</v>
      </c>
    </row>
    <row r="75" spans="1:32" x14ac:dyDescent="0.3">
      <c r="A75" s="3" t="s">
        <v>81</v>
      </c>
      <c r="B75" s="3" t="s">
        <v>82</v>
      </c>
      <c r="C75" s="3" t="s">
        <v>83</v>
      </c>
      <c r="D75" s="5">
        <v>45520</v>
      </c>
      <c r="E75" s="5">
        <v>45820</v>
      </c>
      <c r="F75" s="3" t="s">
        <v>30</v>
      </c>
      <c r="G75" s="3" t="s">
        <v>84</v>
      </c>
      <c r="H75" s="4">
        <v>672</v>
      </c>
      <c r="I75" s="4">
        <v>4228314</v>
      </c>
      <c r="J75" s="3" t="s">
        <v>436</v>
      </c>
      <c r="K75" s="3" t="s">
        <v>437</v>
      </c>
      <c r="L75" s="3" t="s">
        <v>438</v>
      </c>
      <c r="M75" s="5">
        <v>45494</v>
      </c>
      <c r="N75" s="3" t="s">
        <v>88</v>
      </c>
      <c r="O75" s="3" t="s">
        <v>89</v>
      </c>
      <c r="P75" s="3" t="s">
        <v>53</v>
      </c>
      <c r="Q75" s="6">
        <v>465</v>
      </c>
      <c r="R75" s="6">
        <v>465</v>
      </c>
      <c r="S75" s="5">
        <v>46195</v>
      </c>
      <c r="T75" s="3" t="s">
        <v>66</v>
      </c>
      <c r="U75" s="3" t="s">
        <v>79</v>
      </c>
      <c r="V75" s="3" t="s">
        <v>55</v>
      </c>
      <c r="W75" s="3" t="s">
        <v>32</v>
      </c>
      <c r="X75" s="3" t="s">
        <v>54</v>
      </c>
      <c r="Y75" s="3">
        <v>100151</v>
      </c>
      <c r="Z75" s="3" t="s">
        <v>108</v>
      </c>
      <c r="AA75" s="3">
        <v>100151</v>
      </c>
      <c r="AB75" s="3" t="s">
        <v>108</v>
      </c>
      <c r="AC75" s="4">
        <f ca="1">TODAY()-Open[[#This Row],[Status Date]]</f>
        <v>9</v>
      </c>
      <c r="AD75" s="3" t="s">
        <v>91</v>
      </c>
      <c r="AE75" t="str">
        <f t="shared" si="1"/>
        <v>Mason Reynolds</v>
      </c>
      <c r="AF75" t="s">
        <v>1056</v>
      </c>
    </row>
    <row r="76" spans="1:32" x14ac:dyDescent="0.3">
      <c r="A76" s="3" t="s">
        <v>81</v>
      </c>
      <c r="B76" s="3" t="s">
        <v>82</v>
      </c>
      <c r="C76" s="3" t="s">
        <v>83</v>
      </c>
      <c r="D76" s="5">
        <v>45520</v>
      </c>
      <c r="E76" s="5">
        <v>45820</v>
      </c>
      <c r="F76" s="3" t="s">
        <v>30</v>
      </c>
      <c r="G76" s="3" t="s">
        <v>84</v>
      </c>
      <c r="H76" s="4">
        <v>672</v>
      </c>
      <c r="I76" s="4">
        <v>4229064</v>
      </c>
      <c r="J76" s="3" t="s">
        <v>439</v>
      </c>
      <c r="K76" s="3" t="s">
        <v>440</v>
      </c>
      <c r="L76" s="3" t="s">
        <v>441</v>
      </c>
      <c r="M76" s="5">
        <v>45494</v>
      </c>
      <c r="N76" s="3" t="s">
        <v>88</v>
      </c>
      <c r="O76" s="3" t="s">
        <v>89</v>
      </c>
      <c r="P76" s="3" t="s">
        <v>53</v>
      </c>
      <c r="Q76" s="6">
        <v>465</v>
      </c>
      <c r="R76" s="6">
        <v>465</v>
      </c>
      <c r="S76" s="5">
        <v>46195</v>
      </c>
      <c r="T76" s="3" t="s">
        <v>66</v>
      </c>
      <c r="U76" s="3" t="s">
        <v>79</v>
      </c>
      <c r="V76" s="3" t="s">
        <v>55</v>
      </c>
      <c r="W76" s="3" t="s">
        <v>32</v>
      </c>
      <c r="X76" s="3" t="s">
        <v>54</v>
      </c>
      <c r="Y76" s="3">
        <v>100161</v>
      </c>
      <c r="Z76" s="3" t="s">
        <v>132</v>
      </c>
      <c r="AA76" s="3">
        <v>100161</v>
      </c>
      <c r="AB76" s="3" t="s">
        <v>132</v>
      </c>
      <c r="AC76" s="4">
        <f ca="1">TODAY()-Open[[#This Row],[Status Date]]</f>
        <v>9</v>
      </c>
      <c r="AD76" s="3" t="s">
        <v>91</v>
      </c>
      <c r="AE76" t="str">
        <f t="shared" si="1"/>
        <v>Connor Bishop</v>
      </c>
      <c r="AF76" t="s">
        <v>1056</v>
      </c>
    </row>
    <row r="77" spans="1:32" x14ac:dyDescent="0.3">
      <c r="A77" s="3" t="s">
        <v>81</v>
      </c>
      <c r="B77" s="3" t="s">
        <v>82</v>
      </c>
      <c r="C77" s="3" t="s">
        <v>83</v>
      </c>
      <c r="D77" s="5">
        <v>45520</v>
      </c>
      <c r="E77" s="5">
        <v>45820</v>
      </c>
      <c r="F77" s="3" t="s">
        <v>30</v>
      </c>
      <c r="G77" s="3" t="s">
        <v>84</v>
      </c>
      <c r="H77" s="4">
        <v>672</v>
      </c>
      <c r="I77" s="4">
        <v>4228884</v>
      </c>
      <c r="J77" s="3" t="s">
        <v>442</v>
      </c>
      <c r="K77" s="3" t="s">
        <v>443</v>
      </c>
      <c r="L77" s="3" t="s">
        <v>444</v>
      </c>
      <c r="M77" s="5">
        <v>45494</v>
      </c>
      <c r="N77" s="3" t="s">
        <v>88</v>
      </c>
      <c r="O77" s="3" t="s">
        <v>89</v>
      </c>
      <c r="P77" s="3" t="s">
        <v>53</v>
      </c>
      <c r="Q77" s="6">
        <v>307.5</v>
      </c>
      <c r="R77" s="6">
        <v>307.5</v>
      </c>
      <c r="S77" s="5">
        <v>46195</v>
      </c>
      <c r="T77" s="3" t="s">
        <v>66</v>
      </c>
      <c r="U77" s="3" t="s">
        <v>79</v>
      </c>
      <c r="V77" s="3" t="s">
        <v>55</v>
      </c>
      <c r="W77" s="3" t="s">
        <v>32</v>
      </c>
      <c r="X77" s="3" t="s">
        <v>54</v>
      </c>
      <c r="Y77" s="3">
        <v>100191</v>
      </c>
      <c r="Z77" s="3" t="s">
        <v>137</v>
      </c>
      <c r="AA77" s="3">
        <v>100191</v>
      </c>
      <c r="AB77" s="3" t="s">
        <v>137</v>
      </c>
      <c r="AC77" s="4">
        <f ca="1">TODAY()-Open[[#This Row],[Status Date]]</f>
        <v>9</v>
      </c>
      <c r="AD77" s="3" t="s">
        <v>91</v>
      </c>
      <c r="AE77" t="str">
        <f t="shared" si="1"/>
        <v>Dominic Flores</v>
      </c>
      <c r="AF77" t="s">
        <v>1056</v>
      </c>
    </row>
    <row r="78" spans="1:32" x14ac:dyDescent="0.3">
      <c r="A78" s="3" t="s">
        <v>81</v>
      </c>
      <c r="B78" s="3" t="s">
        <v>82</v>
      </c>
      <c r="C78" s="3" t="s">
        <v>83</v>
      </c>
      <c r="D78" s="5">
        <v>45520</v>
      </c>
      <c r="E78" s="5">
        <v>45820</v>
      </c>
      <c r="F78" s="3" t="s">
        <v>30</v>
      </c>
      <c r="G78" s="3" t="s">
        <v>84</v>
      </c>
      <c r="H78" s="4">
        <v>672</v>
      </c>
      <c r="I78" s="4">
        <v>4228464</v>
      </c>
      <c r="J78" s="3" t="s">
        <v>445</v>
      </c>
      <c r="K78" s="3" t="s">
        <v>446</v>
      </c>
      <c r="L78" s="3" t="s">
        <v>447</v>
      </c>
      <c r="M78" s="5">
        <v>45494</v>
      </c>
      <c r="N78" s="3" t="s">
        <v>88</v>
      </c>
      <c r="O78" s="3" t="s">
        <v>89</v>
      </c>
      <c r="P78" s="3" t="s">
        <v>53</v>
      </c>
      <c r="Q78" s="6">
        <v>307.5</v>
      </c>
      <c r="R78" s="6">
        <v>307.5</v>
      </c>
      <c r="S78" s="5">
        <v>46195</v>
      </c>
      <c r="T78" s="3" t="s">
        <v>66</v>
      </c>
      <c r="U78" s="3" t="s">
        <v>79</v>
      </c>
      <c r="V78" s="3" t="s">
        <v>55</v>
      </c>
      <c r="W78" s="3" t="s">
        <v>32</v>
      </c>
      <c r="X78" s="3" t="s">
        <v>54</v>
      </c>
      <c r="Y78" s="3">
        <v>100201</v>
      </c>
      <c r="Z78" s="3" t="s">
        <v>306</v>
      </c>
      <c r="AA78" s="3">
        <v>100201</v>
      </c>
      <c r="AB78" s="3" t="s">
        <v>306</v>
      </c>
      <c r="AC78" s="4">
        <f ca="1">TODAY()-Open[[#This Row],[Status Date]]</f>
        <v>9</v>
      </c>
      <c r="AD78" s="3" t="s">
        <v>91</v>
      </c>
      <c r="AE78" t="str">
        <f t="shared" si="1"/>
        <v>Aiden Harper</v>
      </c>
      <c r="AF78" t="s">
        <v>1056</v>
      </c>
    </row>
    <row r="79" spans="1:32" x14ac:dyDescent="0.3">
      <c r="A79" s="3" t="s">
        <v>81</v>
      </c>
      <c r="B79" s="3" t="s">
        <v>82</v>
      </c>
      <c r="C79" s="3" t="s">
        <v>83</v>
      </c>
      <c r="D79" s="5">
        <v>45520</v>
      </c>
      <c r="E79" s="5">
        <v>45820</v>
      </c>
      <c r="F79" s="3" t="s">
        <v>30</v>
      </c>
      <c r="G79" s="3" t="s">
        <v>84</v>
      </c>
      <c r="H79" s="4">
        <v>672</v>
      </c>
      <c r="I79" s="4">
        <v>4228454</v>
      </c>
      <c r="J79" s="3" t="s">
        <v>448</v>
      </c>
      <c r="K79" s="3" t="s">
        <v>449</v>
      </c>
      <c r="L79" s="3" t="s">
        <v>450</v>
      </c>
      <c r="M79" s="5">
        <v>45494</v>
      </c>
      <c r="N79" s="3" t="s">
        <v>88</v>
      </c>
      <c r="O79" s="3" t="s">
        <v>89</v>
      </c>
      <c r="P79" s="3" t="s">
        <v>53</v>
      </c>
      <c r="Q79" s="6">
        <v>307.5</v>
      </c>
      <c r="R79" s="6">
        <v>307.5</v>
      </c>
      <c r="S79" s="5">
        <v>46195</v>
      </c>
      <c r="T79" s="3" t="s">
        <v>66</v>
      </c>
      <c r="U79" s="3" t="s">
        <v>79</v>
      </c>
      <c r="V79" s="3" t="s">
        <v>55</v>
      </c>
      <c r="W79" s="3" t="s">
        <v>32</v>
      </c>
      <c r="X79" s="3" t="s">
        <v>54</v>
      </c>
      <c r="Y79" s="3">
        <v>100231</v>
      </c>
      <c r="Z79" s="3" t="s">
        <v>310</v>
      </c>
      <c r="AA79" s="3">
        <v>100231</v>
      </c>
      <c r="AB79" s="3" t="s">
        <v>310</v>
      </c>
      <c r="AC79" s="4">
        <f ca="1">TODAY()-Open[[#This Row],[Status Date]]</f>
        <v>9</v>
      </c>
      <c r="AD79" s="3" t="s">
        <v>91</v>
      </c>
      <c r="AE79" t="str">
        <f t="shared" si="1"/>
        <v>Jackson Norris</v>
      </c>
      <c r="AF79" t="s">
        <v>1056</v>
      </c>
    </row>
    <row r="80" spans="1:32" x14ac:dyDescent="0.3">
      <c r="A80" s="3" t="s">
        <v>81</v>
      </c>
      <c r="B80" s="3" t="s">
        <v>82</v>
      </c>
      <c r="C80" s="3" t="s">
        <v>83</v>
      </c>
      <c r="D80" s="5">
        <v>45520</v>
      </c>
      <c r="E80" s="5">
        <v>45820</v>
      </c>
      <c r="F80" s="3" t="s">
        <v>30</v>
      </c>
      <c r="G80" s="3" t="s">
        <v>84</v>
      </c>
      <c r="H80" s="4">
        <v>672</v>
      </c>
      <c r="I80" s="4">
        <v>4228874</v>
      </c>
      <c r="J80" s="3" t="s">
        <v>451</v>
      </c>
      <c r="K80" s="3" t="s">
        <v>452</v>
      </c>
      <c r="L80" s="3" t="s">
        <v>453</v>
      </c>
      <c r="M80" s="5">
        <v>45494</v>
      </c>
      <c r="N80" s="3" t="s">
        <v>88</v>
      </c>
      <c r="O80" s="3" t="s">
        <v>89</v>
      </c>
      <c r="P80" s="3" t="s">
        <v>53</v>
      </c>
      <c r="Q80" s="6">
        <v>736.25</v>
      </c>
      <c r="R80" s="6">
        <v>736.25</v>
      </c>
      <c r="S80" s="5">
        <v>46195</v>
      </c>
      <c r="T80" s="3" t="s">
        <v>66</v>
      </c>
      <c r="U80" s="3" t="s">
        <v>79</v>
      </c>
      <c r="V80" s="3" t="s">
        <v>55</v>
      </c>
      <c r="W80" s="3" t="s">
        <v>32</v>
      </c>
      <c r="X80" s="3" t="s">
        <v>54</v>
      </c>
      <c r="Y80" s="3">
        <v>100241</v>
      </c>
      <c r="Z80" s="3" t="s">
        <v>314</v>
      </c>
      <c r="AA80" s="3">
        <v>100241</v>
      </c>
      <c r="AB80" s="3" t="s">
        <v>314</v>
      </c>
      <c r="AC80" s="4">
        <f ca="1">TODAY()-Open[[#This Row],[Status Date]]</f>
        <v>9</v>
      </c>
      <c r="AD80" s="3" t="s">
        <v>91</v>
      </c>
      <c r="AE80" t="str">
        <f t="shared" si="1"/>
        <v>Leah Pearson</v>
      </c>
      <c r="AF80" t="s">
        <v>1056</v>
      </c>
    </row>
    <row r="81" spans="1:32" x14ac:dyDescent="0.3">
      <c r="A81" s="3" t="s">
        <v>81</v>
      </c>
      <c r="B81" s="3" t="s">
        <v>82</v>
      </c>
      <c r="C81" s="3" t="s">
        <v>83</v>
      </c>
      <c r="D81" s="5">
        <v>45520</v>
      </c>
      <c r="E81" s="5">
        <v>45821</v>
      </c>
      <c r="F81" s="3" t="s">
        <v>30</v>
      </c>
      <c r="G81" s="3" t="s">
        <v>84</v>
      </c>
      <c r="H81" s="4">
        <v>672</v>
      </c>
      <c r="I81" s="4">
        <v>4228494</v>
      </c>
      <c r="J81" s="3" t="s">
        <v>454</v>
      </c>
      <c r="K81" s="3" t="s">
        <v>455</v>
      </c>
      <c r="L81" s="3" t="s">
        <v>456</v>
      </c>
      <c r="M81" s="5">
        <v>45399</v>
      </c>
      <c r="N81" s="3" t="s">
        <v>88</v>
      </c>
      <c r="O81" s="3" t="s">
        <v>89</v>
      </c>
      <c r="P81" s="3" t="s">
        <v>53</v>
      </c>
      <c r="Q81" s="6">
        <v>525</v>
      </c>
      <c r="R81" s="6">
        <v>525</v>
      </c>
      <c r="S81" s="5">
        <v>46195</v>
      </c>
      <c r="T81" s="3" t="s">
        <v>66</v>
      </c>
      <c r="U81" s="3" t="s">
        <v>79</v>
      </c>
      <c r="V81" s="3" t="s">
        <v>55</v>
      </c>
      <c r="W81" s="3" t="s">
        <v>32</v>
      </c>
      <c r="X81" s="3" t="s">
        <v>54</v>
      </c>
      <c r="Y81" s="3">
        <v>100271</v>
      </c>
      <c r="Z81" s="3" t="s">
        <v>318</v>
      </c>
      <c r="AA81" s="3">
        <v>100271</v>
      </c>
      <c r="AB81" s="3" t="s">
        <v>318</v>
      </c>
      <c r="AC81" s="4">
        <f ca="1">TODAY()-Open[[#This Row],[Status Date]]</f>
        <v>9</v>
      </c>
      <c r="AD81" s="3" t="s">
        <v>91</v>
      </c>
      <c r="AE81" t="str">
        <f t="shared" si="1"/>
        <v>Brooke Palmer</v>
      </c>
      <c r="AF81" t="s">
        <v>1056</v>
      </c>
    </row>
    <row r="82" spans="1:32" x14ac:dyDescent="0.3">
      <c r="A82" s="3" t="s">
        <v>81</v>
      </c>
      <c r="B82" s="3" t="s">
        <v>82</v>
      </c>
      <c r="C82" s="3" t="s">
        <v>83</v>
      </c>
      <c r="D82" s="5">
        <v>45520</v>
      </c>
      <c r="E82" s="5">
        <v>45821</v>
      </c>
      <c r="F82" s="3" t="s">
        <v>30</v>
      </c>
      <c r="G82" s="3" t="s">
        <v>84</v>
      </c>
      <c r="H82" s="4">
        <v>672</v>
      </c>
      <c r="I82" s="4">
        <v>4229024</v>
      </c>
      <c r="J82" s="3" t="s">
        <v>457</v>
      </c>
      <c r="K82" s="3" t="s">
        <v>458</v>
      </c>
      <c r="L82" s="3" t="s">
        <v>459</v>
      </c>
      <c r="M82" s="5">
        <v>45378</v>
      </c>
      <c r="N82" s="3" t="s">
        <v>88</v>
      </c>
      <c r="O82" s="3" t="s">
        <v>89</v>
      </c>
      <c r="P82" s="3" t="s">
        <v>53</v>
      </c>
      <c r="Q82" s="6">
        <v>300</v>
      </c>
      <c r="R82" s="6">
        <v>300</v>
      </c>
      <c r="S82" s="5">
        <v>46195</v>
      </c>
      <c r="T82" s="3" t="s">
        <v>66</v>
      </c>
      <c r="U82" s="3" t="s">
        <v>79</v>
      </c>
      <c r="V82" s="3" t="s">
        <v>55</v>
      </c>
      <c r="W82" s="3" t="s">
        <v>32</v>
      </c>
      <c r="X82" s="3" t="s">
        <v>54</v>
      </c>
      <c r="Y82" s="3">
        <v>100281</v>
      </c>
      <c r="Z82" s="3" t="s">
        <v>322</v>
      </c>
      <c r="AA82" s="3">
        <v>100281</v>
      </c>
      <c r="AB82" s="3" t="s">
        <v>322</v>
      </c>
      <c r="AC82" s="4">
        <f ca="1">TODAY()-Open[[#This Row],[Status Date]]</f>
        <v>9</v>
      </c>
      <c r="AD82" s="3" t="s">
        <v>91</v>
      </c>
      <c r="AE82" t="str">
        <f t="shared" si="1"/>
        <v>Grace Whitaker</v>
      </c>
      <c r="AF82" t="s">
        <v>1056</v>
      </c>
    </row>
    <row r="83" spans="1:32" x14ac:dyDescent="0.3">
      <c r="A83" s="3" t="s">
        <v>81</v>
      </c>
      <c r="B83" s="3" t="s">
        <v>82</v>
      </c>
      <c r="C83" s="3" t="s">
        <v>83</v>
      </c>
      <c r="D83" s="5">
        <v>45520</v>
      </c>
      <c r="E83" s="5">
        <v>45821</v>
      </c>
      <c r="F83" s="3" t="s">
        <v>30</v>
      </c>
      <c r="G83" s="3" t="s">
        <v>84</v>
      </c>
      <c r="H83" s="4">
        <v>672</v>
      </c>
      <c r="I83" s="4">
        <v>4228744</v>
      </c>
      <c r="J83" s="3" t="s">
        <v>460</v>
      </c>
      <c r="K83" s="3" t="s">
        <v>461</v>
      </c>
      <c r="L83" s="3" t="s">
        <v>462</v>
      </c>
      <c r="M83" s="5">
        <v>45377</v>
      </c>
      <c r="N83" s="3" t="s">
        <v>88</v>
      </c>
      <c r="O83" s="3" t="s">
        <v>89</v>
      </c>
      <c r="P83" s="3" t="s">
        <v>53</v>
      </c>
      <c r="Q83" s="6">
        <v>600</v>
      </c>
      <c r="R83" s="6">
        <v>600</v>
      </c>
      <c r="S83" s="5">
        <v>46195</v>
      </c>
      <c r="T83" s="3" t="s">
        <v>66</v>
      </c>
      <c r="U83" s="3" t="s">
        <v>79</v>
      </c>
      <c r="V83" s="3" t="s">
        <v>55</v>
      </c>
      <c r="W83" s="3" t="s">
        <v>32</v>
      </c>
      <c r="X83" s="3" t="s">
        <v>54</v>
      </c>
      <c r="Y83" s="3">
        <v>100111</v>
      </c>
      <c r="Z83" s="3" t="s">
        <v>90</v>
      </c>
      <c r="AA83" s="3">
        <v>100111</v>
      </c>
      <c r="AB83" s="3" t="s">
        <v>90</v>
      </c>
      <c r="AC83" s="4">
        <f ca="1">TODAY()-Open[[#This Row],[Status Date]]</f>
        <v>9</v>
      </c>
      <c r="AD83" s="3" t="s">
        <v>91</v>
      </c>
      <c r="AE83" t="str">
        <f t="shared" si="1"/>
        <v>Andrew Ross</v>
      </c>
      <c r="AF83" t="s">
        <v>1056</v>
      </c>
    </row>
    <row r="84" spans="1:32" x14ac:dyDescent="0.3">
      <c r="A84" s="3" t="s">
        <v>81</v>
      </c>
      <c r="B84" s="3" t="s">
        <v>82</v>
      </c>
      <c r="C84" s="3" t="s">
        <v>83</v>
      </c>
      <c r="D84" s="5">
        <v>45520</v>
      </c>
      <c r="E84" s="5">
        <v>45821</v>
      </c>
      <c r="F84" s="3" t="s">
        <v>30</v>
      </c>
      <c r="G84" s="3" t="s">
        <v>84</v>
      </c>
      <c r="H84" s="4">
        <v>672</v>
      </c>
      <c r="I84" s="4">
        <v>4229004</v>
      </c>
      <c r="J84" s="3" t="s">
        <v>463</v>
      </c>
      <c r="K84" s="3" t="s">
        <v>464</v>
      </c>
      <c r="L84" s="3" t="s">
        <v>465</v>
      </c>
      <c r="M84" s="5">
        <v>45377</v>
      </c>
      <c r="N84" s="3" t="s">
        <v>88</v>
      </c>
      <c r="O84" s="3" t="s">
        <v>89</v>
      </c>
      <c r="P84" s="3" t="s">
        <v>53</v>
      </c>
      <c r="Q84" s="6">
        <v>600</v>
      </c>
      <c r="R84" s="6">
        <v>600</v>
      </c>
      <c r="S84" s="5">
        <v>46195</v>
      </c>
      <c r="T84" s="3" t="s">
        <v>66</v>
      </c>
      <c r="U84" s="3" t="s">
        <v>79</v>
      </c>
      <c r="V84" s="3" t="s">
        <v>55</v>
      </c>
      <c r="W84" s="3" t="s">
        <v>32</v>
      </c>
      <c r="X84" s="3" t="s">
        <v>54</v>
      </c>
      <c r="Y84" s="3">
        <v>100121</v>
      </c>
      <c r="Z84" s="3" t="s">
        <v>103</v>
      </c>
      <c r="AA84" s="3">
        <v>100121</v>
      </c>
      <c r="AB84" s="3" t="s">
        <v>103</v>
      </c>
      <c r="AC84" s="4">
        <f ca="1">TODAY()-Open[[#This Row],[Status Date]]</f>
        <v>9</v>
      </c>
      <c r="AD84" s="3" t="s">
        <v>91</v>
      </c>
      <c r="AE84" t="str">
        <f t="shared" si="1"/>
        <v>Olivia Jenkins</v>
      </c>
      <c r="AF84" t="s">
        <v>1056</v>
      </c>
    </row>
    <row r="85" spans="1:32" x14ac:dyDescent="0.3">
      <c r="A85" s="3" t="s">
        <v>81</v>
      </c>
      <c r="B85" s="3" t="s">
        <v>82</v>
      </c>
      <c r="C85" s="3" t="s">
        <v>83</v>
      </c>
      <c r="D85" s="5">
        <v>45574</v>
      </c>
      <c r="E85" s="5">
        <v>45821</v>
      </c>
      <c r="F85" s="3" t="s">
        <v>30</v>
      </c>
      <c r="G85" s="3" t="s">
        <v>84</v>
      </c>
      <c r="H85" s="4">
        <v>618</v>
      </c>
      <c r="I85" s="4">
        <v>4251383</v>
      </c>
      <c r="J85" s="3" t="s">
        <v>495</v>
      </c>
      <c r="K85" s="3" t="s">
        <v>496</v>
      </c>
      <c r="L85" s="3" t="s">
        <v>497</v>
      </c>
      <c r="M85" s="5">
        <v>45314</v>
      </c>
      <c r="N85" s="3" t="s">
        <v>88</v>
      </c>
      <c r="O85" s="3" t="s">
        <v>89</v>
      </c>
      <c r="P85" s="3" t="s">
        <v>53</v>
      </c>
      <c r="Q85" s="6">
        <v>307.5</v>
      </c>
      <c r="R85" s="6">
        <v>307.5</v>
      </c>
      <c r="S85" s="5">
        <v>46195</v>
      </c>
      <c r="T85" s="3" t="s">
        <v>66</v>
      </c>
      <c r="U85" s="3" t="s">
        <v>79</v>
      </c>
      <c r="V85" s="3" t="s">
        <v>55</v>
      </c>
      <c r="W85" s="3" t="s">
        <v>32</v>
      </c>
      <c r="X85" s="3" t="s">
        <v>54</v>
      </c>
      <c r="Y85" s="3">
        <v>100151</v>
      </c>
      <c r="Z85" s="3" t="s">
        <v>108</v>
      </c>
      <c r="AA85" s="3">
        <v>100151</v>
      </c>
      <c r="AB85" s="3" t="s">
        <v>108</v>
      </c>
      <c r="AC85" s="4">
        <f ca="1">TODAY()-Open[[#This Row],[Status Date]]</f>
        <v>9</v>
      </c>
      <c r="AD85" s="3" t="s">
        <v>91</v>
      </c>
      <c r="AE85" t="str">
        <f t="shared" si="1"/>
        <v>Mason Reynolds</v>
      </c>
      <c r="AF85" t="s">
        <v>1056</v>
      </c>
    </row>
    <row r="86" spans="1:32" x14ac:dyDescent="0.3">
      <c r="A86" s="3" t="s">
        <v>81</v>
      </c>
      <c r="B86" s="3" t="s">
        <v>82</v>
      </c>
      <c r="C86" s="3" t="s">
        <v>83</v>
      </c>
      <c r="D86" s="5">
        <v>45574</v>
      </c>
      <c r="E86" s="5">
        <v>45863</v>
      </c>
      <c r="F86" s="3" t="s">
        <v>30</v>
      </c>
      <c r="G86" s="3" t="s">
        <v>84</v>
      </c>
      <c r="H86" s="4">
        <v>618</v>
      </c>
      <c r="I86" s="4">
        <v>4251353</v>
      </c>
      <c r="J86" s="3" t="s">
        <v>498</v>
      </c>
      <c r="K86" s="3" t="s">
        <v>499</v>
      </c>
      <c r="L86" s="3" t="s">
        <v>500</v>
      </c>
      <c r="M86" s="5">
        <v>45314</v>
      </c>
      <c r="N86" s="3" t="s">
        <v>88</v>
      </c>
      <c r="O86" s="3" t="s">
        <v>89</v>
      </c>
      <c r="P86" s="3" t="s">
        <v>53</v>
      </c>
      <c r="Q86" s="6">
        <v>1075</v>
      </c>
      <c r="R86" s="6">
        <v>1075</v>
      </c>
      <c r="S86" s="5">
        <v>46195</v>
      </c>
      <c r="T86" s="3" t="s">
        <v>66</v>
      </c>
      <c r="U86" s="3" t="s">
        <v>79</v>
      </c>
      <c r="V86" s="3" t="s">
        <v>55</v>
      </c>
      <c r="W86" s="3" t="s">
        <v>32</v>
      </c>
      <c r="X86" s="3" t="s">
        <v>54</v>
      </c>
      <c r="Y86" s="3">
        <v>100161</v>
      </c>
      <c r="Z86" s="3" t="s">
        <v>132</v>
      </c>
      <c r="AA86" s="3">
        <v>100161</v>
      </c>
      <c r="AB86" s="3" t="s">
        <v>132</v>
      </c>
      <c r="AC86" s="4">
        <f ca="1">TODAY()-Open[[#This Row],[Status Date]]</f>
        <v>9</v>
      </c>
      <c r="AD86" s="3" t="s">
        <v>91</v>
      </c>
      <c r="AE86" t="str">
        <f t="shared" si="1"/>
        <v>Connor Bishop</v>
      </c>
      <c r="AF86" t="s">
        <v>1056</v>
      </c>
    </row>
    <row r="87" spans="1:32" x14ac:dyDescent="0.3">
      <c r="A87" s="3" t="s">
        <v>81</v>
      </c>
      <c r="B87" s="3" t="s">
        <v>82</v>
      </c>
      <c r="C87" s="3" t="s">
        <v>83</v>
      </c>
      <c r="D87" s="5">
        <v>45574</v>
      </c>
      <c r="E87" s="5">
        <v>45863</v>
      </c>
      <c r="F87" s="3" t="s">
        <v>30</v>
      </c>
      <c r="G87" s="3" t="s">
        <v>84</v>
      </c>
      <c r="H87" s="4">
        <v>618</v>
      </c>
      <c r="I87" s="4">
        <v>4252463</v>
      </c>
      <c r="J87" s="3" t="s">
        <v>501</v>
      </c>
      <c r="K87" s="3" t="s">
        <v>502</v>
      </c>
      <c r="L87" s="3" t="s">
        <v>503</v>
      </c>
      <c r="M87" s="5">
        <v>45316</v>
      </c>
      <c r="N87" s="3" t="s">
        <v>88</v>
      </c>
      <c r="O87" s="3" t="s">
        <v>89</v>
      </c>
      <c r="P87" s="3" t="s">
        <v>53</v>
      </c>
      <c r="Q87" s="6">
        <v>307.5</v>
      </c>
      <c r="R87" s="6">
        <v>307.5</v>
      </c>
      <c r="S87" s="5">
        <v>46195</v>
      </c>
      <c r="T87" s="3" t="s">
        <v>66</v>
      </c>
      <c r="U87" s="3" t="s">
        <v>79</v>
      </c>
      <c r="V87" s="3" t="s">
        <v>55</v>
      </c>
      <c r="W87" s="3" t="s">
        <v>32</v>
      </c>
      <c r="X87" s="3" t="s">
        <v>54</v>
      </c>
      <c r="Y87" s="3">
        <v>100191</v>
      </c>
      <c r="Z87" s="3" t="s">
        <v>137</v>
      </c>
      <c r="AA87" s="3">
        <v>100191</v>
      </c>
      <c r="AB87" s="3" t="s">
        <v>137</v>
      </c>
      <c r="AC87" s="4">
        <f ca="1">TODAY()-Open[[#This Row],[Status Date]]</f>
        <v>9</v>
      </c>
      <c r="AD87" s="3" t="s">
        <v>91</v>
      </c>
      <c r="AE87" t="str">
        <f t="shared" si="1"/>
        <v>Dominic Flores</v>
      </c>
      <c r="AF87" t="s">
        <v>1056</v>
      </c>
    </row>
    <row r="88" spans="1:32" x14ac:dyDescent="0.3">
      <c r="A88" s="3" t="s">
        <v>81</v>
      </c>
      <c r="B88" s="3" t="s">
        <v>82</v>
      </c>
      <c r="C88" s="3" t="s">
        <v>83</v>
      </c>
      <c r="D88" s="5">
        <v>45575</v>
      </c>
      <c r="E88" s="5">
        <v>45821</v>
      </c>
      <c r="F88" s="3" t="s">
        <v>30</v>
      </c>
      <c r="G88" s="3" t="s">
        <v>84</v>
      </c>
      <c r="H88" s="4">
        <v>617</v>
      </c>
      <c r="I88" s="4">
        <v>4253233</v>
      </c>
      <c r="J88" s="3" t="s">
        <v>504</v>
      </c>
      <c r="K88" s="3" t="s">
        <v>505</v>
      </c>
      <c r="L88" s="3" t="s">
        <v>506</v>
      </c>
      <c r="M88" s="5">
        <v>45302</v>
      </c>
      <c r="N88" s="3" t="s">
        <v>88</v>
      </c>
      <c r="O88" s="3" t="s">
        <v>89</v>
      </c>
      <c r="P88" s="3" t="s">
        <v>46</v>
      </c>
      <c r="Q88" s="6">
        <v>250</v>
      </c>
      <c r="R88" s="6">
        <v>250</v>
      </c>
      <c r="S88" s="5">
        <v>46195</v>
      </c>
      <c r="T88" s="3" t="s">
        <v>66</v>
      </c>
      <c r="U88" s="3" t="s">
        <v>79</v>
      </c>
      <c r="V88" s="3" t="s">
        <v>55</v>
      </c>
      <c r="W88" s="3" t="s">
        <v>32</v>
      </c>
      <c r="X88" s="3" t="s">
        <v>47</v>
      </c>
      <c r="Y88" s="3">
        <v>100201</v>
      </c>
      <c r="Z88" s="3" t="s">
        <v>306</v>
      </c>
      <c r="AA88" s="3">
        <v>100201</v>
      </c>
      <c r="AB88" s="3" t="s">
        <v>306</v>
      </c>
      <c r="AC88" s="4">
        <f ca="1">TODAY()-Open[[#This Row],[Status Date]]</f>
        <v>9</v>
      </c>
      <c r="AD88" s="3" t="s">
        <v>91</v>
      </c>
      <c r="AE88" t="str">
        <f t="shared" si="1"/>
        <v>Aiden Harper</v>
      </c>
      <c r="AF88" t="s">
        <v>1059</v>
      </c>
    </row>
    <row r="89" spans="1:32" x14ac:dyDescent="0.3">
      <c r="A89" s="3" t="s">
        <v>81</v>
      </c>
      <c r="B89" s="3" t="s">
        <v>82</v>
      </c>
      <c r="C89" s="3" t="s">
        <v>83</v>
      </c>
      <c r="D89" s="5">
        <v>45576</v>
      </c>
      <c r="E89" s="5">
        <v>45863</v>
      </c>
      <c r="F89" s="3" t="s">
        <v>30</v>
      </c>
      <c r="G89" s="3" t="s">
        <v>84</v>
      </c>
      <c r="H89" s="4">
        <v>616</v>
      </c>
      <c r="I89" s="4">
        <v>4253253</v>
      </c>
      <c r="J89" s="3" t="s">
        <v>507</v>
      </c>
      <c r="K89" s="3" t="s">
        <v>508</v>
      </c>
      <c r="L89" s="3" t="s">
        <v>509</v>
      </c>
      <c r="M89" s="5">
        <v>45317</v>
      </c>
      <c r="N89" s="3" t="s">
        <v>88</v>
      </c>
      <c r="O89" s="3" t="s">
        <v>89</v>
      </c>
      <c r="P89" s="3" t="s">
        <v>53</v>
      </c>
      <c r="Q89" s="6">
        <v>300</v>
      </c>
      <c r="R89" s="6">
        <v>300</v>
      </c>
      <c r="S89" s="5">
        <v>46195</v>
      </c>
      <c r="T89" s="3" t="s">
        <v>66</v>
      </c>
      <c r="U89" s="3" t="s">
        <v>79</v>
      </c>
      <c r="V89" s="3" t="s">
        <v>55</v>
      </c>
      <c r="W89" s="3" t="s">
        <v>32</v>
      </c>
      <c r="X89" s="3" t="s">
        <v>54</v>
      </c>
      <c r="Y89" s="3">
        <v>100231</v>
      </c>
      <c r="Z89" s="3" t="s">
        <v>310</v>
      </c>
      <c r="AA89" s="3">
        <v>100231</v>
      </c>
      <c r="AB89" s="3" t="s">
        <v>310</v>
      </c>
      <c r="AC89" s="4">
        <f ca="1">TODAY()-Open[[#This Row],[Status Date]]</f>
        <v>9</v>
      </c>
      <c r="AD89" s="3" t="s">
        <v>91</v>
      </c>
      <c r="AE89" t="str">
        <f t="shared" si="1"/>
        <v>Jackson Norris</v>
      </c>
      <c r="AF89" t="s">
        <v>1056</v>
      </c>
    </row>
    <row r="90" spans="1:32" x14ac:dyDescent="0.3">
      <c r="A90" s="3" t="s">
        <v>81</v>
      </c>
      <c r="B90" s="3" t="s">
        <v>82</v>
      </c>
      <c r="C90" s="3" t="s">
        <v>83</v>
      </c>
      <c r="D90" s="5">
        <v>45576</v>
      </c>
      <c r="E90" s="5">
        <v>45863</v>
      </c>
      <c r="F90" s="3" t="s">
        <v>30</v>
      </c>
      <c r="G90" s="3" t="s">
        <v>84</v>
      </c>
      <c r="H90" s="4">
        <v>616</v>
      </c>
      <c r="I90" s="4">
        <v>4254583</v>
      </c>
      <c r="J90" s="3" t="s">
        <v>510</v>
      </c>
      <c r="K90" s="3" t="s">
        <v>511</v>
      </c>
      <c r="L90" s="3" t="s">
        <v>512</v>
      </c>
      <c r="M90" s="5">
        <v>45317</v>
      </c>
      <c r="N90" s="3" t="s">
        <v>88</v>
      </c>
      <c r="O90" s="3" t="s">
        <v>89</v>
      </c>
      <c r="P90" s="3" t="s">
        <v>53</v>
      </c>
      <c r="Q90" s="6">
        <v>307.5</v>
      </c>
      <c r="R90" s="6">
        <v>307.5</v>
      </c>
      <c r="S90" s="5">
        <v>46195</v>
      </c>
      <c r="T90" s="3" t="s">
        <v>66</v>
      </c>
      <c r="U90" s="3" t="s">
        <v>79</v>
      </c>
      <c r="V90" s="3" t="s">
        <v>55</v>
      </c>
      <c r="W90" s="3" t="s">
        <v>32</v>
      </c>
      <c r="X90" s="3" t="s">
        <v>54</v>
      </c>
      <c r="Y90" s="3">
        <v>100241</v>
      </c>
      <c r="Z90" s="3" t="s">
        <v>314</v>
      </c>
      <c r="AA90" s="3">
        <v>100241</v>
      </c>
      <c r="AB90" s="3" t="s">
        <v>314</v>
      </c>
      <c r="AC90" s="4">
        <f ca="1">TODAY()-Open[[#This Row],[Status Date]]</f>
        <v>9</v>
      </c>
      <c r="AD90" s="3" t="s">
        <v>91</v>
      </c>
      <c r="AE90" t="str">
        <f t="shared" si="1"/>
        <v>Leah Pearson</v>
      </c>
      <c r="AF90" t="s">
        <v>1056</v>
      </c>
    </row>
    <row r="91" spans="1:32" x14ac:dyDescent="0.3">
      <c r="A91" s="3" t="s">
        <v>81</v>
      </c>
      <c r="B91" s="3" t="s">
        <v>82</v>
      </c>
      <c r="C91" s="3" t="s">
        <v>83</v>
      </c>
      <c r="D91" s="5">
        <v>45576</v>
      </c>
      <c r="E91" s="5">
        <v>45863</v>
      </c>
      <c r="F91" s="3" t="s">
        <v>30</v>
      </c>
      <c r="G91" s="3" t="s">
        <v>84</v>
      </c>
      <c r="H91" s="4">
        <v>616</v>
      </c>
      <c r="I91" s="4">
        <v>4254593</v>
      </c>
      <c r="J91" s="3" t="s">
        <v>513</v>
      </c>
      <c r="K91" s="3" t="s">
        <v>514</v>
      </c>
      <c r="L91" s="3" t="s">
        <v>515</v>
      </c>
      <c r="M91" s="5">
        <v>45317</v>
      </c>
      <c r="N91" s="3" t="s">
        <v>88</v>
      </c>
      <c r="O91" s="3" t="s">
        <v>89</v>
      </c>
      <c r="P91" s="3" t="s">
        <v>53</v>
      </c>
      <c r="Q91" s="6">
        <v>850</v>
      </c>
      <c r="R91" s="6">
        <v>850</v>
      </c>
      <c r="S91" s="5">
        <v>46195</v>
      </c>
      <c r="T91" s="3" t="s">
        <v>66</v>
      </c>
      <c r="U91" s="3" t="s">
        <v>79</v>
      </c>
      <c r="V91" s="3" t="s">
        <v>55</v>
      </c>
      <c r="W91" s="3" t="s">
        <v>32</v>
      </c>
      <c r="X91" s="3" t="s">
        <v>54</v>
      </c>
      <c r="Y91" s="3">
        <v>100271</v>
      </c>
      <c r="Z91" s="3" t="s">
        <v>318</v>
      </c>
      <c r="AA91" s="3">
        <v>100271</v>
      </c>
      <c r="AB91" s="3" t="s">
        <v>318</v>
      </c>
      <c r="AC91" s="4">
        <f ca="1">TODAY()-Open[[#This Row],[Status Date]]</f>
        <v>9</v>
      </c>
      <c r="AD91" s="3" t="s">
        <v>91</v>
      </c>
      <c r="AE91" t="str">
        <f t="shared" si="1"/>
        <v>Brooke Palmer</v>
      </c>
      <c r="AF91" t="s">
        <v>1056</v>
      </c>
    </row>
    <row r="92" spans="1:32" x14ac:dyDescent="0.3">
      <c r="A92" s="3" t="s">
        <v>81</v>
      </c>
      <c r="B92" s="3" t="s">
        <v>82</v>
      </c>
      <c r="C92" s="3" t="s">
        <v>83</v>
      </c>
      <c r="D92" s="5">
        <v>45576</v>
      </c>
      <c r="E92" s="5">
        <v>45863</v>
      </c>
      <c r="F92" s="3" t="s">
        <v>30</v>
      </c>
      <c r="G92" s="3" t="s">
        <v>84</v>
      </c>
      <c r="H92" s="4">
        <v>616</v>
      </c>
      <c r="I92" s="4">
        <v>4253973</v>
      </c>
      <c r="J92" s="3" t="s">
        <v>516</v>
      </c>
      <c r="K92" s="3" t="s">
        <v>517</v>
      </c>
      <c r="L92" s="3" t="s">
        <v>518</v>
      </c>
      <c r="M92" s="5">
        <v>45318</v>
      </c>
      <c r="N92" s="3" t="s">
        <v>88</v>
      </c>
      <c r="O92" s="3" t="s">
        <v>89</v>
      </c>
      <c r="P92" s="3" t="s">
        <v>53</v>
      </c>
      <c r="Q92" s="6">
        <v>300</v>
      </c>
      <c r="R92" s="6">
        <v>300</v>
      </c>
      <c r="S92" s="5">
        <v>46195</v>
      </c>
      <c r="T92" s="3" t="s">
        <v>66</v>
      </c>
      <c r="U92" s="3" t="s">
        <v>79</v>
      </c>
      <c r="V92" s="3" t="s">
        <v>55</v>
      </c>
      <c r="W92" s="3" t="s">
        <v>32</v>
      </c>
      <c r="X92" s="3" t="s">
        <v>54</v>
      </c>
      <c r="Y92" s="3">
        <v>100281</v>
      </c>
      <c r="Z92" s="3" t="s">
        <v>322</v>
      </c>
      <c r="AA92" s="3">
        <v>100281</v>
      </c>
      <c r="AB92" s="3" t="s">
        <v>322</v>
      </c>
      <c r="AC92" s="4">
        <f ca="1">TODAY()-Open[[#This Row],[Status Date]]</f>
        <v>9</v>
      </c>
      <c r="AD92" s="3" t="s">
        <v>91</v>
      </c>
      <c r="AE92" t="str">
        <f t="shared" si="1"/>
        <v>Grace Whitaker</v>
      </c>
      <c r="AF92" t="s">
        <v>1056</v>
      </c>
    </row>
    <row r="93" spans="1:32" x14ac:dyDescent="0.3">
      <c r="A93" s="3" t="s">
        <v>81</v>
      </c>
      <c r="B93" s="3" t="s">
        <v>82</v>
      </c>
      <c r="C93" s="3" t="s">
        <v>83</v>
      </c>
      <c r="D93" s="5">
        <v>45576</v>
      </c>
      <c r="E93" s="5">
        <v>45863</v>
      </c>
      <c r="F93" s="3" t="s">
        <v>30</v>
      </c>
      <c r="G93" s="3" t="s">
        <v>84</v>
      </c>
      <c r="H93" s="4">
        <v>616</v>
      </c>
      <c r="I93" s="4">
        <v>4252803</v>
      </c>
      <c r="J93" s="3" t="s">
        <v>519</v>
      </c>
      <c r="K93" s="3" t="s">
        <v>520</v>
      </c>
      <c r="L93" s="3" t="s">
        <v>521</v>
      </c>
      <c r="M93" s="5">
        <v>45318</v>
      </c>
      <c r="N93" s="3" t="s">
        <v>88</v>
      </c>
      <c r="O93" s="3" t="s">
        <v>89</v>
      </c>
      <c r="P93" s="3" t="s">
        <v>53</v>
      </c>
      <c r="Q93" s="6">
        <v>700</v>
      </c>
      <c r="R93" s="6">
        <v>700</v>
      </c>
      <c r="S93" s="5">
        <v>46195</v>
      </c>
      <c r="T93" s="3" t="s">
        <v>66</v>
      </c>
      <c r="U93" s="3" t="s">
        <v>79</v>
      </c>
      <c r="V93" s="3" t="s">
        <v>55</v>
      </c>
      <c r="W93" s="3" t="s">
        <v>32</v>
      </c>
      <c r="X93" s="3" t="s">
        <v>54</v>
      </c>
      <c r="Y93" s="3">
        <v>100111</v>
      </c>
      <c r="Z93" s="3" t="s">
        <v>90</v>
      </c>
      <c r="AA93" s="3">
        <v>100111</v>
      </c>
      <c r="AB93" s="3" t="s">
        <v>90</v>
      </c>
      <c r="AC93" s="4">
        <f ca="1">TODAY()-Open[[#This Row],[Status Date]]</f>
        <v>9</v>
      </c>
      <c r="AD93" s="3" t="s">
        <v>91</v>
      </c>
      <c r="AE93" t="str">
        <f t="shared" si="1"/>
        <v>Andrew Ross</v>
      </c>
      <c r="AF93" t="s">
        <v>1056</v>
      </c>
    </row>
    <row r="94" spans="1:32" x14ac:dyDescent="0.3">
      <c r="A94" s="3" t="s">
        <v>81</v>
      </c>
      <c r="B94" s="3" t="s">
        <v>82</v>
      </c>
      <c r="C94" s="3" t="s">
        <v>83</v>
      </c>
      <c r="D94" s="5">
        <v>45580</v>
      </c>
      <c r="E94" s="5">
        <v>45863</v>
      </c>
      <c r="F94" s="3" t="s">
        <v>30</v>
      </c>
      <c r="G94" s="3" t="s">
        <v>84</v>
      </c>
      <c r="H94" s="4">
        <v>612</v>
      </c>
      <c r="I94" s="4">
        <v>4254153</v>
      </c>
      <c r="J94" s="3" t="s">
        <v>522</v>
      </c>
      <c r="K94" s="3" t="s">
        <v>523</v>
      </c>
      <c r="L94" s="3" t="s">
        <v>524</v>
      </c>
      <c r="M94" s="5">
        <v>45345</v>
      </c>
      <c r="N94" s="3" t="s">
        <v>88</v>
      </c>
      <c r="O94" s="3" t="s">
        <v>89</v>
      </c>
      <c r="P94" s="3" t="s">
        <v>53</v>
      </c>
      <c r="Q94" s="6">
        <v>525</v>
      </c>
      <c r="R94" s="6">
        <v>525</v>
      </c>
      <c r="S94" s="5">
        <v>46195</v>
      </c>
      <c r="T94" s="3" t="s">
        <v>66</v>
      </c>
      <c r="U94" s="3" t="s">
        <v>79</v>
      </c>
      <c r="V94" s="3" t="s">
        <v>55</v>
      </c>
      <c r="W94" s="3" t="s">
        <v>32</v>
      </c>
      <c r="X94" s="3" t="s">
        <v>54</v>
      </c>
      <c r="Y94" s="3">
        <v>100121</v>
      </c>
      <c r="Z94" s="3" t="s">
        <v>103</v>
      </c>
      <c r="AA94" s="3">
        <v>100121</v>
      </c>
      <c r="AB94" s="3" t="s">
        <v>103</v>
      </c>
      <c r="AC94" s="4">
        <f ca="1">TODAY()-Open[[#This Row],[Status Date]]</f>
        <v>9</v>
      </c>
      <c r="AD94" s="3" t="s">
        <v>91</v>
      </c>
      <c r="AE94" t="str">
        <f t="shared" si="1"/>
        <v>Olivia Jenkins</v>
      </c>
      <c r="AF94" t="s">
        <v>1056</v>
      </c>
    </row>
    <row r="95" spans="1:32" x14ac:dyDescent="0.3">
      <c r="A95" s="3" t="s">
        <v>81</v>
      </c>
      <c r="B95" s="3" t="s">
        <v>82</v>
      </c>
      <c r="C95" s="3" t="s">
        <v>83</v>
      </c>
      <c r="D95" s="5">
        <v>45580</v>
      </c>
      <c r="E95" s="5">
        <v>45863</v>
      </c>
      <c r="F95" s="3" t="s">
        <v>30</v>
      </c>
      <c r="G95" s="3" t="s">
        <v>84</v>
      </c>
      <c r="H95" s="4">
        <v>612</v>
      </c>
      <c r="I95" s="4">
        <v>4253953</v>
      </c>
      <c r="J95" s="3" t="s">
        <v>525</v>
      </c>
      <c r="K95" s="3" t="s">
        <v>526</v>
      </c>
      <c r="L95" s="3" t="s">
        <v>527</v>
      </c>
      <c r="M95" s="5">
        <v>45347</v>
      </c>
      <c r="N95" s="3" t="s">
        <v>88</v>
      </c>
      <c r="O95" s="3" t="s">
        <v>89</v>
      </c>
      <c r="P95" s="3" t="s">
        <v>53</v>
      </c>
      <c r="Q95" s="6">
        <v>525</v>
      </c>
      <c r="R95" s="6">
        <v>525</v>
      </c>
      <c r="S95" s="5">
        <v>46195</v>
      </c>
      <c r="T95" s="3" t="s">
        <v>66</v>
      </c>
      <c r="U95" s="3" t="s">
        <v>79</v>
      </c>
      <c r="V95" s="3" t="s">
        <v>55</v>
      </c>
      <c r="W95" s="3" t="s">
        <v>32</v>
      </c>
      <c r="X95" s="3" t="s">
        <v>54</v>
      </c>
      <c r="Y95" s="3">
        <v>100151</v>
      </c>
      <c r="Z95" s="3" t="s">
        <v>108</v>
      </c>
      <c r="AA95" s="3">
        <v>100151</v>
      </c>
      <c r="AB95" s="3" t="s">
        <v>108</v>
      </c>
      <c r="AC95" s="4">
        <f ca="1">TODAY()-Open[[#This Row],[Status Date]]</f>
        <v>9</v>
      </c>
      <c r="AD95" s="3" t="s">
        <v>91</v>
      </c>
      <c r="AE95" t="str">
        <f t="shared" si="1"/>
        <v>Mason Reynolds</v>
      </c>
      <c r="AF95" t="s">
        <v>1056</v>
      </c>
    </row>
    <row r="96" spans="1:32" x14ac:dyDescent="0.3">
      <c r="A96" s="3" t="s">
        <v>81</v>
      </c>
      <c r="B96" s="3" t="s">
        <v>82</v>
      </c>
      <c r="C96" s="3" t="s">
        <v>83</v>
      </c>
      <c r="D96" s="5">
        <v>45580</v>
      </c>
      <c r="E96" s="5">
        <v>45863</v>
      </c>
      <c r="F96" s="3" t="s">
        <v>30</v>
      </c>
      <c r="G96" s="3" t="s">
        <v>84</v>
      </c>
      <c r="H96" s="4">
        <v>612</v>
      </c>
      <c r="I96" s="4">
        <v>4252153</v>
      </c>
      <c r="J96" s="3" t="s">
        <v>528</v>
      </c>
      <c r="K96" s="3" t="s">
        <v>529</v>
      </c>
      <c r="L96" s="3" t="s">
        <v>530</v>
      </c>
      <c r="M96" s="5">
        <v>45347</v>
      </c>
      <c r="N96" s="3" t="s">
        <v>88</v>
      </c>
      <c r="O96" s="3" t="s">
        <v>89</v>
      </c>
      <c r="P96" s="3" t="s">
        <v>53</v>
      </c>
      <c r="Q96" s="6">
        <v>300</v>
      </c>
      <c r="R96" s="6">
        <v>300</v>
      </c>
      <c r="S96" s="5">
        <v>46195</v>
      </c>
      <c r="T96" s="3" t="s">
        <v>66</v>
      </c>
      <c r="U96" s="3" t="s">
        <v>79</v>
      </c>
      <c r="V96" s="3" t="s">
        <v>55</v>
      </c>
      <c r="W96" s="3" t="s">
        <v>32</v>
      </c>
      <c r="X96" s="3" t="s">
        <v>54</v>
      </c>
      <c r="Y96" s="3">
        <v>100161</v>
      </c>
      <c r="Z96" s="3" t="s">
        <v>132</v>
      </c>
      <c r="AA96" s="3">
        <v>100161</v>
      </c>
      <c r="AB96" s="3" t="s">
        <v>132</v>
      </c>
      <c r="AC96" s="4">
        <f ca="1">TODAY()-Open[[#This Row],[Status Date]]</f>
        <v>9</v>
      </c>
      <c r="AD96" s="3" t="s">
        <v>91</v>
      </c>
      <c r="AE96" t="str">
        <f t="shared" si="1"/>
        <v>Connor Bishop</v>
      </c>
      <c r="AF96" t="s">
        <v>1056</v>
      </c>
    </row>
    <row r="97" spans="1:32" x14ac:dyDescent="0.3">
      <c r="A97" s="3" t="s">
        <v>81</v>
      </c>
      <c r="B97" s="3" t="s">
        <v>82</v>
      </c>
      <c r="C97" s="3" t="s">
        <v>83</v>
      </c>
      <c r="D97" s="5">
        <v>45580</v>
      </c>
      <c r="E97" s="5">
        <v>45863</v>
      </c>
      <c r="F97" s="3" t="s">
        <v>30</v>
      </c>
      <c r="G97" s="3" t="s">
        <v>84</v>
      </c>
      <c r="H97" s="4">
        <v>612</v>
      </c>
      <c r="I97" s="4">
        <v>4253813</v>
      </c>
      <c r="J97" s="3" t="s">
        <v>531</v>
      </c>
      <c r="K97" s="3" t="s">
        <v>532</v>
      </c>
      <c r="L97" s="3" t="s">
        <v>533</v>
      </c>
      <c r="M97" s="5">
        <v>45347</v>
      </c>
      <c r="N97" s="3" t="s">
        <v>88</v>
      </c>
      <c r="O97" s="3" t="s">
        <v>89</v>
      </c>
      <c r="P97" s="3" t="s">
        <v>53</v>
      </c>
      <c r="Q97" s="6">
        <v>300</v>
      </c>
      <c r="R97" s="6">
        <v>300</v>
      </c>
      <c r="S97" s="5">
        <v>46195</v>
      </c>
      <c r="T97" s="3" t="s">
        <v>66</v>
      </c>
      <c r="U97" s="3" t="s">
        <v>79</v>
      </c>
      <c r="V97" s="3" t="s">
        <v>55</v>
      </c>
      <c r="W97" s="3" t="s">
        <v>32</v>
      </c>
      <c r="X97" s="3" t="s">
        <v>54</v>
      </c>
      <c r="Y97" s="3">
        <v>100191</v>
      </c>
      <c r="Z97" s="3" t="s">
        <v>137</v>
      </c>
      <c r="AA97" s="3">
        <v>100191</v>
      </c>
      <c r="AB97" s="3" t="s">
        <v>137</v>
      </c>
      <c r="AC97" s="4">
        <f ca="1">TODAY()-Open[[#This Row],[Status Date]]</f>
        <v>9</v>
      </c>
      <c r="AD97" s="3" t="s">
        <v>91</v>
      </c>
      <c r="AE97" t="str">
        <f t="shared" si="1"/>
        <v>Dominic Flores</v>
      </c>
      <c r="AF97" t="s">
        <v>1056</v>
      </c>
    </row>
    <row r="98" spans="1:32" x14ac:dyDescent="0.3">
      <c r="A98" s="3" t="s">
        <v>81</v>
      </c>
      <c r="B98" s="3" t="s">
        <v>82</v>
      </c>
      <c r="C98" s="3" t="s">
        <v>83</v>
      </c>
      <c r="D98" s="5">
        <v>45580</v>
      </c>
      <c r="E98" s="5">
        <v>45863</v>
      </c>
      <c r="F98" s="3" t="s">
        <v>30</v>
      </c>
      <c r="G98" s="3" t="s">
        <v>84</v>
      </c>
      <c r="H98" s="4">
        <v>612</v>
      </c>
      <c r="I98" s="4">
        <v>4253793</v>
      </c>
      <c r="J98" s="3" t="s">
        <v>534</v>
      </c>
      <c r="K98" s="3" t="s">
        <v>535</v>
      </c>
      <c r="L98" s="3" t="s">
        <v>536</v>
      </c>
      <c r="M98" s="5">
        <v>45347</v>
      </c>
      <c r="N98" s="3" t="s">
        <v>88</v>
      </c>
      <c r="O98" s="3" t="s">
        <v>89</v>
      </c>
      <c r="P98" s="3" t="s">
        <v>53</v>
      </c>
      <c r="Q98" s="6">
        <v>300</v>
      </c>
      <c r="R98" s="6">
        <v>300</v>
      </c>
      <c r="S98" s="5">
        <v>46195</v>
      </c>
      <c r="T98" s="3" t="s">
        <v>66</v>
      </c>
      <c r="U98" s="3" t="s">
        <v>79</v>
      </c>
      <c r="V98" s="3" t="s">
        <v>55</v>
      </c>
      <c r="W98" s="3" t="s">
        <v>32</v>
      </c>
      <c r="X98" s="3" t="s">
        <v>54</v>
      </c>
      <c r="Y98" s="3">
        <v>100201</v>
      </c>
      <c r="Z98" s="3" t="s">
        <v>306</v>
      </c>
      <c r="AA98" s="3">
        <v>100201</v>
      </c>
      <c r="AB98" s="3" t="s">
        <v>306</v>
      </c>
      <c r="AC98" s="4">
        <f ca="1">TODAY()-Open[[#This Row],[Status Date]]</f>
        <v>9</v>
      </c>
      <c r="AD98" s="3" t="s">
        <v>91</v>
      </c>
      <c r="AE98" t="str">
        <f t="shared" si="1"/>
        <v>Aiden Harper</v>
      </c>
      <c r="AF98" t="s">
        <v>1056</v>
      </c>
    </row>
    <row r="99" spans="1:32" x14ac:dyDescent="0.3">
      <c r="A99" s="3" t="s">
        <v>81</v>
      </c>
      <c r="B99" s="3" t="s">
        <v>82</v>
      </c>
      <c r="C99" s="3" t="s">
        <v>83</v>
      </c>
      <c r="D99" s="5">
        <v>45580</v>
      </c>
      <c r="E99" s="5">
        <v>45863</v>
      </c>
      <c r="F99" s="3" t="s">
        <v>30</v>
      </c>
      <c r="G99" s="3" t="s">
        <v>84</v>
      </c>
      <c r="H99" s="4">
        <v>612</v>
      </c>
      <c r="I99" s="4">
        <v>4255603</v>
      </c>
      <c r="J99" s="3" t="s">
        <v>537</v>
      </c>
      <c r="K99" s="3" t="s">
        <v>538</v>
      </c>
      <c r="L99" s="3" t="s">
        <v>539</v>
      </c>
      <c r="M99" s="5">
        <v>45347</v>
      </c>
      <c r="N99" s="3" t="s">
        <v>88</v>
      </c>
      <c r="O99" s="3" t="s">
        <v>89</v>
      </c>
      <c r="P99" s="3" t="s">
        <v>53</v>
      </c>
      <c r="Q99" s="6">
        <v>300</v>
      </c>
      <c r="R99" s="6">
        <v>300</v>
      </c>
      <c r="S99" s="5">
        <v>46195</v>
      </c>
      <c r="T99" s="3" t="s">
        <v>66</v>
      </c>
      <c r="U99" s="3" t="s">
        <v>79</v>
      </c>
      <c r="V99" s="3" t="s">
        <v>55</v>
      </c>
      <c r="W99" s="3" t="s">
        <v>32</v>
      </c>
      <c r="X99" s="3" t="s">
        <v>54</v>
      </c>
      <c r="Y99" s="3">
        <v>100231</v>
      </c>
      <c r="Z99" s="3" t="s">
        <v>310</v>
      </c>
      <c r="AA99" s="3">
        <v>100231</v>
      </c>
      <c r="AB99" s="3" t="s">
        <v>310</v>
      </c>
      <c r="AC99" s="4">
        <f ca="1">TODAY()-Open[[#This Row],[Status Date]]</f>
        <v>9</v>
      </c>
      <c r="AD99" s="3" t="s">
        <v>91</v>
      </c>
      <c r="AE99" t="str">
        <f t="shared" si="1"/>
        <v>Jackson Norris</v>
      </c>
      <c r="AF99" t="s">
        <v>1056</v>
      </c>
    </row>
    <row r="100" spans="1:32" x14ac:dyDescent="0.3">
      <c r="A100" s="3" t="s">
        <v>81</v>
      </c>
      <c r="B100" s="3" t="s">
        <v>82</v>
      </c>
      <c r="C100" s="3" t="s">
        <v>83</v>
      </c>
      <c r="D100" s="5">
        <v>45580</v>
      </c>
      <c r="E100" s="5">
        <v>45863</v>
      </c>
      <c r="F100" s="3" t="s">
        <v>30</v>
      </c>
      <c r="G100" s="3" t="s">
        <v>84</v>
      </c>
      <c r="H100" s="4">
        <v>612</v>
      </c>
      <c r="I100" s="4">
        <v>4253803</v>
      </c>
      <c r="J100" s="3" t="s">
        <v>540</v>
      </c>
      <c r="K100" s="3" t="s">
        <v>541</v>
      </c>
      <c r="L100" s="3" t="s">
        <v>542</v>
      </c>
      <c r="M100" s="5">
        <v>45372</v>
      </c>
      <c r="N100" s="3" t="s">
        <v>88</v>
      </c>
      <c r="O100" s="3" t="s">
        <v>89</v>
      </c>
      <c r="P100" s="3" t="s">
        <v>53</v>
      </c>
      <c r="Q100" s="6">
        <v>307.5</v>
      </c>
      <c r="R100" s="6">
        <v>307.5</v>
      </c>
      <c r="S100" s="5">
        <v>46195</v>
      </c>
      <c r="T100" s="3" t="s">
        <v>66</v>
      </c>
      <c r="U100" s="3" t="s">
        <v>79</v>
      </c>
      <c r="V100" s="3" t="s">
        <v>55</v>
      </c>
      <c r="W100" s="3" t="s">
        <v>32</v>
      </c>
      <c r="X100" s="3" t="s">
        <v>54</v>
      </c>
      <c r="Y100" s="3">
        <v>100241</v>
      </c>
      <c r="Z100" s="3" t="s">
        <v>314</v>
      </c>
      <c r="AA100" s="3">
        <v>100241</v>
      </c>
      <c r="AB100" s="3" t="s">
        <v>314</v>
      </c>
      <c r="AC100" s="4">
        <f ca="1">TODAY()-Open[[#This Row],[Status Date]]</f>
        <v>9</v>
      </c>
      <c r="AD100" s="3" t="s">
        <v>91</v>
      </c>
      <c r="AE100" t="str">
        <f t="shared" si="1"/>
        <v>Leah Pearson</v>
      </c>
      <c r="AF100" t="s">
        <v>1056</v>
      </c>
    </row>
    <row r="101" spans="1:32" x14ac:dyDescent="0.3">
      <c r="A101" s="3" t="s">
        <v>81</v>
      </c>
      <c r="B101" s="3" t="s">
        <v>82</v>
      </c>
      <c r="C101" s="3" t="s">
        <v>83</v>
      </c>
      <c r="D101" s="5">
        <v>45580</v>
      </c>
      <c r="E101" s="5">
        <v>45863</v>
      </c>
      <c r="F101" s="3" t="s">
        <v>30</v>
      </c>
      <c r="G101" s="3" t="s">
        <v>84</v>
      </c>
      <c r="H101" s="4">
        <v>612</v>
      </c>
      <c r="I101" s="4">
        <v>4255523</v>
      </c>
      <c r="J101" s="3" t="s">
        <v>543</v>
      </c>
      <c r="K101" s="3" t="s">
        <v>544</v>
      </c>
      <c r="L101" s="3" t="s">
        <v>545</v>
      </c>
      <c r="M101" s="5">
        <v>45376</v>
      </c>
      <c r="N101" s="3" t="s">
        <v>88</v>
      </c>
      <c r="O101" s="3" t="s">
        <v>89</v>
      </c>
      <c r="P101" s="3" t="s">
        <v>53</v>
      </c>
      <c r="Q101" s="6">
        <v>600</v>
      </c>
      <c r="R101" s="6">
        <v>600</v>
      </c>
      <c r="S101" s="5">
        <v>46195</v>
      </c>
      <c r="T101" s="3" t="s">
        <v>66</v>
      </c>
      <c r="U101" s="3" t="s">
        <v>79</v>
      </c>
      <c r="V101" s="3" t="s">
        <v>55</v>
      </c>
      <c r="W101" s="3" t="s">
        <v>32</v>
      </c>
      <c r="X101" s="3" t="s">
        <v>54</v>
      </c>
      <c r="Y101" s="3">
        <v>100271</v>
      </c>
      <c r="Z101" s="3" t="s">
        <v>318</v>
      </c>
      <c r="AA101" s="3">
        <v>100271</v>
      </c>
      <c r="AB101" s="3" t="s">
        <v>318</v>
      </c>
      <c r="AC101" s="4">
        <f ca="1">TODAY()-Open[[#This Row],[Status Date]]</f>
        <v>9</v>
      </c>
      <c r="AD101" s="3" t="s">
        <v>91</v>
      </c>
      <c r="AE101" t="str">
        <f t="shared" si="1"/>
        <v>Brooke Palmer</v>
      </c>
      <c r="AF101" t="s">
        <v>1056</v>
      </c>
    </row>
    <row r="102" spans="1:32" x14ac:dyDescent="0.3">
      <c r="A102" s="3" t="s">
        <v>81</v>
      </c>
      <c r="B102" s="3" t="s">
        <v>82</v>
      </c>
      <c r="C102" s="3" t="s">
        <v>83</v>
      </c>
      <c r="D102" s="5">
        <v>45580</v>
      </c>
      <c r="E102" s="5">
        <v>45863</v>
      </c>
      <c r="F102" s="3" t="s">
        <v>30</v>
      </c>
      <c r="G102" s="3" t="s">
        <v>84</v>
      </c>
      <c r="H102" s="4">
        <v>612</v>
      </c>
      <c r="I102" s="4">
        <v>4253773</v>
      </c>
      <c r="J102" s="3" t="s">
        <v>546</v>
      </c>
      <c r="K102" s="3" t="s">
        <v>547</v>
      </c>
      <c r="L102" s="3" t="s">
        <v>548</v>
      </c>
      <c r="M102" s="5">
        <v>45376</v>
      </c>
      <c r="N102" s="3" t="s">
        <v>88</v>
      </c>
      <c r="O102" s="3" t="s">
        <v>89</v>
      </c>
      <c r="P102" s="3" t="s">
        <v>53</v>
      </c>
      <c r="Q102" s="6">
        <v>450</v>
      </c>
      <c r="R102" s="6">
        <v>450</v>
      </c>
      <c r="S102" s="5">
        <v>46195</v>
      </c>
      <c r="T102" s="3" t="s">
        <v>66</v>
      </c>
      <c r="U102" s="3" t="s">
        <v>79</v>
      </c>
      <c r="V102" s="3" t="s">
        <v>55</v>
      </c>
      <c r="W102" s="3" t="s">
        <v>32</v>
      </c>
      <c r="X102" s="3" t="s">
        <v>54</v>
      </c>
      <c r="Y102" s="3">
        <v>100281</v>
      </c>
      <c r="Z102" s="3" t="s">
        <v>322</v>
      </c>
      <c r="AA102" s="3">
        <v>100281</v>
      </c>
      <c r="AB102" s="3" t="s">
        <v>322</v>
      </c>
      <c r="AC102" s="4">
        <f ca="1">TODAY()-Open[[#This Row],[Status Date]]</f>
        <v>9</v>
      </c>
      <c r="AD102" s="3" t="s">
        <v>91</v>
      </c>
      <c r="AE102" t="str">
        <f t="shared" si="1"/>
        <v>Grace Whitaker</v>
      </c>
      <c r="AF102" t="s">
        <v>1056</v>
      </c>
    </row>
    <row r="103" spans="1:32" x14ac:dyDescent="0.3">
      <c r="A103" s="3" t="s">
        <v>81</v>
      </c>
      <c r="B103" s="3" t="s">
        <v>82</v>
      </c>
      <c r="C103" s="3" t="s">
        <v>83</v>
      </c>
      <c r="D103" s="5">
        <v>45580</v>
      </c>
      <c r="E103" s="5">
        <v>45863</v>
      </c>
      <c r="F103" s="3" t="s">
        <v>30</v>
      </c>
      <c r="G103" s="3" t="s">
        <v>84</v>
      </c>
      <c r="H103" s="4">
        <v>612</v>
      </c>
      <c r="I103" s="4">
        <v>4253783</v>
      </c>
      <c r="J103" s="3" t="s">
        <v>549</v>
      </c>
      <c r="K103" s="3" t="s">
        <v>550</v>
      </c>
      <c r="L103" s="3" t="s">
        <v>551</v>
      </c>
      <c r="M103" s="5">
        <v>45376</v>
      </c>
      <c r="N103" s="3" t="s">
        <v>88</v>
      </c>
      <c r="O103" s="3" t="s">
        <v>89</v>
      </c>
      <c r="P103" s="3" t="s">
        <v>53</v>
      </c>
      <c r="Q103" s="6">
        <v>300</v>
      </c>
      <c r="R103" s="6">
        <v>300</v>
      </c>
      <c r="S103" s="5">
        <v>46195</v>
      </c>
      <c r="T103" s="3" t="s">
        <v>66</v>
      </c>
      <c r="U103" s="3" t="s">
        <v>79</v>
      </c>
      <c r="V103" s="3" t="s">
        <v>55</v>
      </c>
      <c r="W103" s="3" t="s">
        <v>32</v>
      </c>
      <c r="X103" s="3" t="s">
        <v>54</v>
      </c>
      <c r="Y103" s="3">
        <v>100111</v>
      </c>
      <c r="Z103" s="3" t="s">
        <v>90</v>
      </c>
      <c r="AA103" s="3">
        <v>100111</v>
      </c>
      <c r="AB103" s="3" t="s">
        <v>90</v>
      </c>
      <c r="AC103" s="4">
        <f ca="1">TODAY()-Open[[#This Row],[Status Date]]</f>
        <v>9</v>
      </c>
      <c r="AD103" s="3" t="s">
        <v>91</v>
      </c>
      <c r="AE103" t="str">
        <f t="shared" si="1"/>
        <v>Andrew Ross</v>
      </c>
      <c r="AF103" t="s">
        <v>1056</v>
      </c>
    </row>
    <row r="104" spans="1:32" x14ac:dyDescent="0.3">
      <c r="A104" s="3" t="s">
        <v>81</v>
      </c>
      <c r="B104" s="3" t="s">
        <v>82</v>
      </c>
      <c r="C104" s="3" t="s">
        <v>83</v>
      </c>
      <c r="D104" s="5">
        <v>45580</v>
      </c>
      <c r="E104" s="5">
        <v>45863</v>
      </c>
      <c r="F104" s="3" t="s">
        <v>30</v>
      </c>
      <c r="G104" s="3" t="s">
        <v>84</v>
      </c>
      <c r="H104" s="4">
        <v>612</v>
      </c>
      <c r="I104" s="4">
        <v>4258053</v>
      </c>
      <c r="J104" s="3" t="s">
        <v>552</v>
      </c>
      <c r="K104" s="3" t="s">
        <v>553</v>
      </c>
      <c r="L104" s="3" t="s">
        <v>554</v>
      </c>
      <c r="M104" s="5">
        <v>45376</v>
      </c>
      <c r="N104" s="3" t="s">
        <v>88</v>
      </c>
      <c r="O104" s="3" t="s">
        <v>89</v>
      </c>
      <c r="P104" s="3" t="s">
        <v>53</v>
      </c>
      <c r="Q104" s="6">
        <v>525</v>
      </c>
      <c r="R104" s="6">
        <v>525</v>
      </c>
      <c r="S104" s="5">
        <v>46195</v>
      </c>
      <c r="T104" s="3" t="s">
        <v>66</v>
      </c>
      <c r="U104" s="3" t="s">
        <v>79</v>
      </c>
      <c r="V104" s="3" t="s">
        <v>55</v>
      </c>
      <c r="W104" s="3" t="s">
        <v>32</v>
      </c>
      <c r="X104" s="3" t="s">
        <v>54</v>
      </c>
      <c r="Y104" s="3">
        <v>100121</v>
      </c>
      <c r="Z104" s="3" t="s">
        <v>103</v>
      </c>
      <c r="AA104" s="3">
        <v>100121</v>
      </c>
      <c r="AB104" s="3" t="s">
        <v>103</v>
      </c>
      <c r="AC104" s="4">
        <f ca="1">TODAY()-Open[[#This Row],[Status Date]]</f>
        <v>9</v>
      </c>
      <c r="AD104" s="3" t="s">
        <v>91</v>
      </c>
      <c r="AE104" t="str">
        <f t="shared" si="1"/>
        <v>Olivia Jenkins</v>
      </c>
      <c r="AF104" t="s">
        <v>1056</v>
      </c>
    </row>
    <row r="105" spans="1:32" x14ac:dyDescent="0.3">
      <c r="A105" s="3" t="s">
        <v>81</v>
      </c>
      <c r="B105" s="3" t="s">
        <v>82</v>
      </c>
      <c r="C105" s="3" t="s">
        <v>83</v>
      </c>
      <c r="D105" s="5">
        <v>45580</v>
      </c>
      <c r="E105" s="5">
        <v>45863</v>
      </c>
      <c r="F105" s="3" t="s">
        <v>30</v>
      </c>
      <c r="G105" s="3" t="s">
        <v>84</v>
      </c>
      <c r="H105" s="4">
        <v>612</v>
      </c>
      <c r="I105" s="4">
        <v>4258063</v>
      </c>
      <c r="J105" s="3" t="s">
        <v>555</v>
      </c>
      <c r="K105" s="3" t="s">
        <v>556</v>
      </c>
      <c r="L105" s="3" t="s">
        <v>557</v>
      </c>
      <c r="M105" s="5">
        <v>45376</v>
      </c>
      <c r="N105" s="3" t="s">
        <v>88</v>
      </c>
      <c r="O105" s="3" t="s">
        <v>89</v>
      </c>
      <c r="P105" s="3" t="s">
        <v>53</v>
      </c>
      <c r="Q105" s="6">
        <v>300</v>
      </c>
      <c r="R105" s="6">
        <v>300</v>
      </c>
      <c r="S105" s="5">
        <v>46195</v>
      </c>
      <c r="T105" s="3" t="s">
        <v>66</v>
      </c>
      <c r="U105" s="3" t="s">
        <v>79</v>
      </c>
      <c r="V105" s="3" t="s">
        <v>55</v>
      </c>
      <c r="W105" s="3" t="s">
        <v>32</v>
      </c>
      <c r="X105" s="3" t="s">
        <v>54</v>
      </c>
      <c r="Y105" s="3">
        <v>100151</v>
      </c>
      <c r="Z105" s="3" t="s">
        <v>108</v>
      </c>
      <c r="AA105" s="3">
        <v>100151</v>
      </c>
      <c r="AB105" s="3" t="s">
        <v>108</v>
      </c>
      <c r="AC105" s="4">
        <f ca="1">TODAY()-Open[[#This Row],[Status Date]]</f>
        <v>9</v>
      </c>
      <c r="AD105" s="3" t="s">
        <v>91</v>
      </c>
      <c r="AE105" t="str">
        <f t="shared" si="1"/>
        <v>Mason Reynolds</v>
      </c>
      <c r="AF105" t="s">
        <v>1056</v>
      </c>
    </row>
    <row r="106" spans="1:32" x14ac:dyDescent="0.3">
      <c r="A106" s="3" t="s">
        <v>81</v>
      </c>
      <c r="B106" s="3" t="s">
        <v>82</v>
      </c>
      <c r="C106" s="3" t="s">
        <v>83</v>
      </c>
      <c r="D106" s="5">
        <v>45580</v>
      </c>
      <c r="E106" s="5">
        <v>45863</v>
      </c>
      <c r="F106" s="3" t="s">
        <v>30</v>
      </c>
      <c r="G106" s="3" t="s">
        <v>84</v>
      </c>
      <c r="H106" s="4">
        <v>612</v>
      </c>
      <c r="I106" s="4">
        <v>4259343</v>
      </c>
      <c r="J106" s="3" t="s">
        <v>558</v>
      </c>
      <c r="K106" s="3" t="s">
        <v>559</v>
      </c>
      <c r="L106" s="3" t="s">
        <v>560</v>
      </c>
      <c r="M106" s="5">
        <v>45376</v>
      </c>
      <c r="N106" s="3" t="s">
        <v>88</v>
      </c>
      <c r="O106" s="3" t="s">
        <v>89</v>
      </c>
      <c r="P106" s="3" t="s">
        <v>53</v>
      </c>
      <c r="Q106" s="6">
        <v>300</v>
      </c>
      <c r="R106" s="6">
        <v>300</v>
      </c>
      <c r="S106" s="5">
        <v>46195</v>
      </c>
      <c r="T106" s="3" t="s">
        <v>66</v>
      </c>
      <c r="U106" s="3" t="s">
        <v>79</v>
      </c>
      <c r="V106" s="3" t="s">
        <v>55</v>
      </c>
      <c r="W106" s="3" t="s">
        <v>32</v>
      </c>
      <c r="X106" s="3" t="s">
        <v>54</v>
      </c>
      <c r="Y106" s="3">
        <v>100161</v>
      </c>
      <c r="Z106" s="3" t="s">
        <v>132</v>
      </c>
      <c r="AA106" s="3">
        <v>100161</v>
      </c>
      <c r="AB106" s="3" t="s">
        <v>132</v>
      </c>
      <c r="AC106" s="4">
        <f ca="1">TODAY()-Open[[#This Row],[Status Date]]</f>
        <v>9</v>
      </c>
      <c r="AD106" s="3" t="s">
        <v>91</v>
      </c>
      <c r="AE106" t="str">
        <f t="shared" si="1"/>
        <v>Connor Bishop</v>
      </c>
      <c r="AF106" t="s">
        <v>1056</v>
      </c>
    </row>
    <row r="107" spans="1:32" x14ac:dyDescent="0.3">
      <c r="A107" s="3" t="s">
        <v>81</v>
      </c>
      <c r="B107" s="3" t="s">
        <v>82</v>
      </c>
      <c r="C107" s="3" t="s">
        <v>83</v>
      </c>
      <c r="D107" s="5">
        <v>45580</v>
      </c>
      <c r="E107" s="5">
        <v>45863</v>
      </c>
      <c r="F107" s="3" t="s">
        <v>30</v>
      </c>
      <c r="G107" s="3" t="s">
        <v>84</v>
      </c>
      <c r="H107" s="4">
        <v>612</v>
      </c>
      <c r="I107" s="4">
        <v>4259373</v>
      </c>
      <c r="J107" s="3" t="s">
        <v>561</v>
      </c>
      <c r="K107" s="3" t="s">
        <v>562</v>
      </c>
      <c r="L107" s="3" t="s">
        <v>563</v>
      </c>
      <c r="M107" s="5">
        <v>45376</v>
      </c>
      <c r="N107" s="3" t="s">
        <v>88</v>
      </c>
      <c r="O107" s="3" t="s">
        <v>89</v>
      </c>
      <c r="P107" s="3" t="s">
        <v>53</v>
      </c>
      <c r="Q107" s="6">
        <v>600</v>
      </c>
      <c r="R107" s="6">
        <v>600</v>
      </c>
      <c r="S107" s="5">
        <v>46195</v>
      </c>
      <c r="T107" s="3" t="s">
        <v>66</v>
      </c>
      <c r="U107" s="3" t="s">
        <v>79</v>
      </c>
      <c r="V107" s="3" t="s">
        <v>55</v>
      </c>
      <c r="W107" s="3" t="s">
        <v>32</v>
      </c>
      <c r="X107" s="3" t="s">
        <v>54</v>
      </c>
      <c r="Y107" s="3">
        <v>100191</v>
      </c>
      <c r="Z107" s="3" t="s">
        <v>137</v>
      </c>
      <c r="AA107" s="3">
        <v>100191</v>
      </c>
      <c r="AB107" s="3" t="s">
        <v>137</v>
      </c>
      <c r="AC107" s="4">
        <f ca="1">TODAY()-Open[[#This Row],[Status Date]]</f>
        <v>9</v>
      </c>
      <c r="AD107" s="3" t="s">
        <v>91</v>
      </c>
      <c r="AE107" t="str">
        <f t="shared" si="1"/>
        <v>Dominic Flores</v>
      </c>
      <c r="AF107" t="s">
        <v>1056</v>
      </c>
    </row>
    <row r="108" spans="1:32" x14ac:dyDescent="0.3">
      <c r="A108" s="3" t="s">
        <v>81</v>
      </c>
      <c r="B108" s="3" t="s">
        <v>82</v>
      </c>
      <c r="C108" s="3" t="s">
        <v>83</v>
      </c>
      <c r="D108" s="5">
        <v>45580</v>
      </c>
      <c r="E108" s="5">
        <v>45863</v>
      </c>
      <c r="F108" s="3" t="s">
        <v>30</v>
      </c>
      <c r="G108" s="3" t="s">
        <v>84</v>
      </c>
      <c r="H108" s="4">
        <v>612</v>
      </c>
      <c r="I108" s="4">
        <v>4259593</v>
      </c>
      <c r="J108" s="3" t="s">
        <v>564</v>
      </c>
      <c r="K108" s="3" t="s">
        <v>565</v>
      </c>
      <c r="L108" s="3" t="s">
        <v>566</v>
      </c>
      <c r="M108" s="5">
        <v>45376</v>
      </c>
      <c r="N108" s="3" t="s">
        <v>88</v>
      </c>
      <c r="O108" s="3" t="s">
        <v>89</v>
      </c>
      <c r="P108" s="3" t="s">
        <v>53</v>
      </c>
      <c r="Q108" s="6">
        <v>300</v>
      </c>
      <c r="R108" s="6">
        <v>300</v>
      </c>
      <c r="S108" s="5">
        <v>46195</v>
      </c>
      <c r="T108" s="3" t="s">
        <v>66</v>
      </c>
      <c r="U108" s="3" t="s">
        <v>79</v>
      </c>
      <c r="V108" s="3" t="s">
        <v>55</v>
      </c>
      <c r="W108" s="3" t="s">
        <v>32</v>
      </c>
      <c r="X108" s="3" t="s">
        <v>54</v>
      </c>
      <c r="Y108" s="3">
        <v>100201</v>
      </c>
      <c r="Z108" s="3" t="s">
        <v>306</v>
      </c>
      <c r="AA108" s="3">
        <v>100201</v>
      </c>
      <c r="AB108" s="3" t="s">
        <v>306</v>
      </c>
      <c r="AC108" s="4">
        <f ca="1">TODAY()-Open[[#This Row],[Status Date]]</f>
        <v>9</v>
      </c>
      <c r="AD108" s="3" t="s">
        <v>91</v>
      </c>
      <c r="AE108" t="str">
        <f t="shared" si="1"/>
        <v>Aiden Harper</v>
      </c>
      <c r="AF108" t="s">
        <v>1056</v>
      </c>
    </row>
    <row r="109" spans="1:32" x14ac:dyDescent="0.3">
      <c r="A109" s="3" t="s">
        <v>81</v>
      </c>
      <c r="B109" s="3" t="s">
        <v>82</v>
      </c>
      <c r="C109" s="3" t="s">
        <v>83</v>
      </c>
      <c r="D109" s="5">
        <v>45580</v>
      </c>
      <c r="E109" s="5">
        <v>45863</v>
      </c>
      <c r="F109" s="3" t="s">
        <v>30</v>
      </c>
      <c r="G109" s="3" t="s">
        <v>84</v>
      </c>
      <c r="H109" s="4">
        <v>612</v>
      </c>
      <c r="I109" s="4">
        <v>4260073</v>
      </c>
      <c r="J109" s="3" t="s">
        <v>567</v>
      </c>
      <c r="K109" s="3" t="s">
        <v>568</v>
      </c>
      <c r="L109" s="3" t="s">
        <v>569</v>
      </c>
      <c r="M109" s="5">
        <v>45376</v>
      </c>
      <c r="N109" s="3" t="s">
        <v>88</v>
      </c>
      <c r="O109" s="3" t="s">
        <v>89</v>
      </c>
      <c r="P109" s="3" t="s">
        <v>53</v>
      </c>
      <c r="Q109" s="6">
        <v>900</v>
      </c>
      <c r="R109" s="6">
        <v>900</v>
      </c>
      <c r="S109" s="5">
        <v>46195</v>
      </c>
      <c r="T109" s="3" t="s">
        <v>66</v>
      </c>
      <c r="U109" s="3" t="s">
        <v>79</v>
      </c>
      <c r="V109" s="3" t="s">
        <v>55</v>
      </c>
      <c r="W109" s="3" t="s">
        <v>32</v>
      </c>
      <c r="X109" s="3" t="s">
        <v>54</v>
      </c>
      <c r="Y109" s="3">
        <v>100231</v>
      </c>
      <c r="Z109" s="3" t="s">
        <v>310</v>
      </c>
      <c r="AA109" s="3">
        <v>100231</v>
      </c>
      <c r="AB109" s="3" t="s">
        <v>310</v>
      </c>
      <c r="AC109" s="4">
        <f ca="1">TODAY()-Open[[#This Row],[Status Date]]</f>
        <v>9</v>
      </c>
      <c r="AD109" s="3" t="s">
        <v>91</v>
      </c>
      <c r="AE109" t="str">
        <f t="shared" si="1"/>
        <v>Jackson Norris</v>
      </c>
      <c r="AF109" t="s">
        <v>1056</v>
      </c>
    </row>
    <row r="110" spans="1:32" x14ac:dyDescent="0.3">
      <c r="A110" s="3" t="s">
        <v>81</v>
      </c>
      <c r="B110" s="3" t="s">
        <v>82</v>
      </c>
      <c r="C110" s="3" t="s">
        <v>83</v>
      </c>
      <c r="D110" s="5">
        <v>45580</v>
      </c>
      <c r="E110" s="5">
        <v>45863</v>
      </c>
      <c r="F110" s="3" t="s">
        <v>30</v>
      </c>
      <c r="G110" s="3" t="s">
        <v>84</v>
      </c>
      <c r="H110" s="4">
        <v>612</v>
      </c>
      <c r="I110" s="4">
        <v>4259603</v>
      </c>
      <c r="J110" s="3" t="s">
        <v>570</v>
      </c>
      <c r="K110" s="3" t="s">
        <v>571</v>
      </c>
      <c r="L110" s="3" t="s">
        <v>572</v>
      </c>
      <c r="M110" s="5">
        <v>45376</v>
      </c>
      <c r="N110" s="3" t="s">
        <v>88</v>
      </c>
      <c r="O110" s="3" t="s">
        <v>89</v>
      </c>
      <c r="P110" s="3" t="s">
        <v>53</v>
      </c>
      <c r="Q110" s="6">
        <v>300</v>
      </c>
      <c r="R110" s="6">
        <v>300</v>
      </c>
      <c r="S110" s="5">
        <v>46195</v>
      </c>
      <c r="T110" s="3" t="s">
        <v>66</v>
      </c>
      <c r="U110" s="3" t="s">
        <v>79</v>
      </c>
      <c r="V110" s="3" t="s">
        <v>55</v>
      </c>
      <c r="W110" s="3" t="s">
        <v>32</v>
      </c>
      <c r="X110" s="3" t="s">
        <v>54</v>
      </c>
      <c r="Y110" s="3">
        <v>100241</v>
      </c>
      <c r="Z110" s="3" t="s">
        <v>314</v>
      </c>
      <c r="AA110" s="3">
        <v>100241</v>
      </c>
      <c r="AB110" s="3" t="s">
        <v>314</v>
      </c>
      <c r="AC110" s="4">
        <f ca="1">TODAY()-Open[[#This Row],[Status Date]]</f>
        <v>9</v>
      </c>
      <c r="AD110" s="3" t="s">
        <v>91</v>
      </c>
      <c r="AE110" t="str">
        <f t="shared" si="1"/>
        <v>Leah Pearson</v>
      </c>
      <c r="AF110" t="s">
        <v>1056</v>
      </c>
    </row>
    <row r="111" spans="1:32" x14ac:dyDescent="0.3">
      <c r="A111" s="3" t="s">
        <v>81</v>
      </c>
      <c r="B111" s="3" t="s">
        <v>82</v>
      </c>
      <c r="C111" s="3" t="s">
        <v>83</v>
      </c>
      <c r="D111" s="5">
        <v>45580</v>
      </c>
      <c r="E111" s="5">
        <v>45863</v>
      </c>
      <c r="F111" s="3" t="s">
        <v>30</v>
      </c>
      <c r="G111" s="3" t="s">
        <v>84</v>
      </c>
      <c r="H111" s="4">
        <v>612</v>
      </c>
      <c r="I111" s="4">
        <v>4260083</v>
      </c>
      <c r="J111" s="3" t="s">
        <v>573</v>
      </c>
      <c r="K111" s="3" t="s">
        <v>574</v>
      </c>
      <c r="L111" s="3" t="s">
        <v>575</v>
      </c>
      <c r="M111" s="5">
        <v>45376</v>
      </c>
      <c r="N111" s="3" t="s">
        <v>88</v>
      </c>
      <c r="O111" s="3" t="s">
        <v>89</v>
      </c>
      <c r="P111" s="3" t="s">
        <v>53</v>
      </c>
      <c r="Q111" s="6">
        <v>300</v>
      </c>
      <c r="R111" s="6">
        <v>300</v>
      </c>
      <c r="S111" s="5">
        <v>46195</v>
      </c>
      <c r="T111" s="3" t="s">
        <v>66</v>
      </c>
      <c r="U111" s="3" t="s">
        <v>79</v>
      </c>
      <c r="V111" s="3" t="s">
        <v>55</v>
      </c>
      <c r="W111" s="3" t="s">
        <v>32</v>
      </c>
      <c r="X111" s="3" t="s">
        <v>54</v>
      </c>
      <c r="Y111" s="3">
        <v>100271</v>
      </c>
      <c r="Z111" s="3" t="s">
        <v>318</v>
      </c>
      <c r="AA111" s="3">
        <v>100271</v>
      </c>
      <c r="AB111" s="3" t="s">
        <v>318</v>
      </c>
      <c r="AC111" s="4">
        <f ca="1">TODAY()-Open[[#This Row],[Status Date]]</f>
        <v>9</v>
      </c>
      <c r="AD111" s="3" t="s">
        <v>91</v>
      </c>
      <c r="AE111" t="str">
        <f t="shared" si="1"/>
        <v>Brooke Palmer</v>
      </c>
      <c r="AF111" t="s">
        <v>1056</v>
      </c>
    </row>
    <row r="112" spans="1:32" x14ac:dyDescent="0.3">
      <c r="A112" s="3" t="s">
        <v>81</v>
      </c>
      <c r="B112" s="3" t="s">
        <v>82</v>
      </c>
      <c r="C112" s="3" t="s">
        <v>83</v>
      </c>
      <c r="D112" s="5">
        <v>45588</v>
      </c>
      <c r="E112" s="5">
        <v>45820</v>
      </c>
      <c r="F112" s="3" t="s">
        <v>30</v>
      </c>
      <c r="G112" s="3" t="s">
        <v>84</v>
      </c>
      <c r="H112" s="4">
        <v>604</v>
      </c>
      <c r="I112" s="4">
        <v>4261153</v>
      </c>
      <c r="J112" s="3" t="s">
        <v>576</v>
      </c>
      <c r="K112" s="3" t="s">
        <v>577</v>
      </c>
      <c r="L112" s="3" t="s">
        <v>578</v>
      </c>
      <c r="M112" s="5">
        <v>45520</v>
      </c>
      <c r="N112" s="3" t="s">
        <v>88</v>
      </c>
      <c r="O112" s="3" t="s">
        <v>89</v>
      </c>
      <c r="P112" s="3" t="s">
        <v>53</v>
      </c>
      <c r="Q112" s="6">
        <v>307.5</v>
      </c>
      <c r="R112" s="6">
        <v>307.5</v>
      </c>
      <c r="S112" s="5">
        <v>46195</v>
      </c>
      <c r="T112" s="3" t="s">
        <v>66</v>
      </c>
      <c r="U112" s="3" t="s">
        <v>79</v>
      </c>
      <c r="V112" s="3" t="s">
        <v>55</v>
      </c>
      <c r="W112" s="3" t="s">
        <v>32</v>
      </c>
      <c r="X112" s="3" t="s">
        <v>54</v>
      </c>
      <c r="Y112" s="3">
        <v>100281</v>
      </c>
      <c r="Z112" s="3" t="s">
        <v>322</v>
      </c>
      <c r="AA112" s="3">
        <v>100281</v>
      </c>
      <c r="AB112" s="3" t="s">
        <v>322</v>
      </c>
      <c r="AC112" s="4">
        <f ca="1">TODAY()-Open[[#This Row],[Status Date]]</f>
        <v>9</v>
      </c>
      <c r="AD112" s="3" t="s">
        <v>91</v>
      </c>
      <c r="AE112" t="str">
        <f t="shared" si="1"/>
        <v>Grace Whitaker</v>
      </c>
      <c r="AF112" t="s">
        <v>1056</v>
      </c>
    </row>
    <row r="113" spans="1:32" x14ac:dyDescent="0.3">
      <c r="A113" s="3" t="s">
        <v>81</v>
      </c>
      <c r="B113" s="3" t="s">
        <v>82</v>
      </c>
      <c r="C113" s="3" t="s">
        <v>83</v>
      </c>
      <c r="D113" s="5">
        <v>45588</v>
      </c>
      <c r="E113" s="5">
        <v>45820</v>
      </c>
      <c r="F113" s="3" t="s">
        <v>30</v>
      </c>
      <c r="G113" s="3" t="s">
        <v>84</v>
      </c>
      <c r="H113" s="4">
        <v>604</v>
      </c>
      <c r="I113" s="4">
        <v>4261423</v>
      </c>
      <c r="J113" s="3" t="s">
        <v>579</v>
      </c>
      <c r="K113" s="3" t="s">
        <v>580</v>
      </c>
      <c r="L113" s="3" t="s">
        <v>581</v>
      </c>
      <c r="M113" s="5">
        <v>45520</v>
      </c>
      <c r="N113" s="3" t="s">
        <v>88</v>
      </c>
      <c r="O113" s="3" t="s">
        <v>89</v>
      </c>
      <c r="P113" s="3" t="s">
        <v>53</v>
      </c>
      <c r="Q113" s="6">
        <v>307.5</v>
      </c>
      <c r="R113" s="6">
        <v>307.5</v>
      </c>
      <c r="S113" s="5">
        <v>46195</v>
      </c>
      <c r="T113" s="3" t="s">
        <v>66</v>
      </c>
      <c r="U113" s="3" t="s">
        <v>79</v>
      </c>
      <c r="V113" s="3" t="s">
        <v>55</v>
      </c>
      <c r="W113" s="3" t="s">
        <v>32</v>
      </c>
      <c r="X113" s="3" t="s">
        <v>54</v>
      </c>
      <c r="Y113" s="3">
        <v>100111</v>
      </c>
      <c r="Z113" s="3" t="s">
        <v>90</v>
      </c>
      <c r="AA113" s="3">
        <v>100111</v>
      </c>
      <c r="AB113" s="3" t="s">
        <v>90</v>
      </c>
      <c r="AC113" s="4">
        <f ca="1">TODAY()-Open[[#This Row],[Status Date]]</f>
        <v>9</v>
      </c>
      <c r="AD113" s="3" t="s">
        <v>91</v>
      </c>
      <c r="AE113" t="str">
        <f t="shared" si="1"/>
        <v>Andrew Ross</v>
      </c>
      <c r="AF113" t="s">
        <v>1056</v>
      </c>
    </row>
    <row r="114" spans="1:32" x14ac:dyDescent="0.3">
      <c r="A114" s="3" t="s">
        <v>81</v>
      </c>
      <c r="B114" s="3" t="s">
        <v>82</v>
      </c>
      <c r="C114" s="3" t="s">
        <v>83</v>
      </c>
      <c r="D114" s="5">
        <v>45588</v>
      </c>
      <c r="E114" s="5">
        <v>45820</v>
      </c>
      <c r="F114" s="3" t="s">
        <v>30</v>
      </c>
      <c r="G114" s="3" t="s">
        <v>84</v>
      </c>
      <c r="H114" s="4">
        <v>604</v>
      </c>
      <c r="I114" s="4">
        <v>4260163</v>
      </c>
      <c r="J114" s="3" t="s">
        <v>582</v>
      </c>
      <c r="K114" s="3" t="s">
        <v>583</v>
      </c>
      <c r="L114" s="3" t="s">
        <v>584</v>
      </c>
      <c r="M114" s="5">
        <v>45520</v>
      </c>
      <c r="N114" s="3" t="s">
        <v>88</v>
      </c>
      <c r="O114" s="3" t="s">
        <v>89</v>
      </c>
      <c r="P114" s="3" t="s">
        <v>53</v>
      </c>
      <c r="Q114" s="6">
        <v>307.5</v>
      </c>
      <c r="R114" s="6">
        <v>307.5</v>
      </c>
      <c r="S114" s="5">
        <v>46195</v>
      </c>
      <c r="T114" s="3" t="s">
        <v>66</v>
      </c>
      <c r="U114" s="3" t="s">
        <v>79</v>
      </c>
      <c r="V114" s="3" t="s">
        <v>55</v>
      </c>
      <c r="W114" s="3" t="s">
        <v>32</v>
      </c>
      <c r="X114" s="3" t="s">
        <v>54</v>
      </c>
      <c r="Y114" s="3">
        <v>100121</v>
      </c>
      <c r="Z114" s="3" t="s">
        <v>103</v>
      </c>
      <c r="AA114" s="3">
        <v>100121</v>
      </c>
      <c r="AB114" s="3" t="s">
        <v>103</v>
      </c>
      <c r="AC114" s="4">
        <f ca="1">TODAY()-Open[[#This Row],[Status Date]]</f>
        <v>9</v>
      </c>
      <c r="AD114" s="3" t="s">
        <v>91</v>
      </c>
      <c r="AE114" t="str">
        <f t="shared" si="1"/>
        <v>Olivia Jenkins</v>
      </c>
      <c r="AF114" t="s">
        <v>1056</v>
      </c>
    </row>
    <row r="115" spans="1:32" x14ac:dyDescent="0.3">
      <c r="A115" s="3" t="s">
        <v>81</v>
      </c>
      <c r="B115" s="3" t="s">
        <v>82</v>
      </c>
      <c r="C115" s="3" t="s">
        <v>83</v>
      </c>
      <c r="D115" s="5">
        <v>45588</v>
      </c>
      <c r="E115" s="5">
        <v>45820</v>
      </c>
      <c r="F115" s="3" t="s">
        <v>30</v>
      </c>
      <c r="G115" s="3" t="s">
        <v>84</v>
      </c>
      <c r="H115" s="4">
        <v>604</v>
      </c>
      <c r="I115" s="4">
        <v>4261203</v>
      </c>
      <c r="J115" s="3" t="s">
        <v>585</v>
      </c>
      <c r="K115" s="3" t="s">
        <v>586</v>
      </c>
      <c r="L115" s="3" t="s">
        <v>587</v>
      </c>
      <c r="M115" s="5">
        <v>45520</v>
      </c>
      <c r="N115" s="3" t="s">
        <v>88</v>
      </c>
      <c r="O115" s="3" t="s">
        <v>89</v>
      </c>
      <c r="P115" s="3" t="s">
        <v>53</v>
      </c>
      <c r="Q115" s="6">
        <v>307.5</v>
      </c>
      <c r="R115" s="6">
        <v>307.5</v>
      </c>
      <c r="S115" s="5">
        <v>46195</v>
      </c>
      <c r="T115" s="3" t="s">
        <v>66</v>
      </c>
      <c r="U115" s="3" t="s">
        <v>79</v>
      </c>
      <c r="V115" s="3" t="s">
        <v>55</v>
      </c>
      <c r="W115" s="3" t="s">
        <v>32</v>
      </c>
      <c r="X115" s="3" t="s">
        <v>54</v>
      </c>
      <c r="Y115" s="3">
        <v>100151</v>
      </c>
      <c r="Z115" s="3" t="s">
        <v>108</v>
      </c>
      <c r="AA115" s="3">
        <v>100151</v>
      </c>
      <c r="AB115" s="3" t="s">
        <v>108</v>
      </c>
      <c r="AC115" s="4">
        <f ca="1">TODAY()-Open[[#This Row],[Status Date]]</f>
        <v>9</v>
      </c>
      <c r="AD115" s="3" t="s">
        <v>91</v>
      </c>
      <c r="AE115" t="str">
        <f t="shared" si="1"/>
        <v>Mason Reynolds</v>
      </c>
      <c r="AF115" t="s">
        <v>1056</v>
      </c>
    </row>
    <row r="116" spans="1:32" x14ac:dyDescent="0.3">
      <c r="A116" s="3" t="s">
        <v>81</v>
      </c>
      <c r="B116" s="3" t="s">
        <v>82</v>
      </c>
      <c r="C116" s="3" t="s">
        <v>83</v>
      </c>
      <c r="D116" s="5">
        <v>45588</v>
      </c>
      <c r="E116" s="5">
        <v>45820</v>
      </c>
      <c r="F116" s="3" t="s">
        <v>30</v>
      </c>
      <c r="G116" s="3" t="s">
        <v>84</v>
      </c>
      <c r="H116" s="4">
        <v>604</v>
      </c>
      <c r="I116" s="4">
        <v>4261143</v>
      </c>
      <c r="J116" s="3" t="s">
        <v>588</v>
      </c>
      <c r="K116" s="3" t="s">
        <v>589</v>
      </c>
      <c r="L116" s="3" t="s">
        <v>590</v>
      </c>
      <c r="M116" s="5">
        <v>45520</v>
      </c>
      <c r="N116" s="3" t="s">
        <v>88</v>
      </c>
      <c r="O116" s="3" t="s">
        <v>89</v>
      </c>
      <c r="P116" s="3" t="s">
        <v>53</v>
      </c>
      <c r="Q116" s="6">
        <v>307.5</v>
      </c>
      <c r="R116" s="6">
        <v>307.5</v>
      </c>
      <c r="S116" s="5">
        <v>46195</v>
      </c>
      <c r="T116" s="3" t="s">
        <v>66</v>
      </c>
      <c r="U116" s="3" t="s">
        <v>79</v>
      </c>
      <c r="V116" s="3" t="s">
        <v>55</v>
      </c>
      <c r="W116" s="3" t="s">
        <v>32</v>
      </c>
      <c r="X116" s="3" t="s">
        <v>54</v>
      </c>
      <c r="Y116" s="3">
        <v>100161</v>
      </c>
      <c r="Z116" s="3" t="s">
        <v>132</v>
      </c>
      <c r="AA116" s="3">
        <v>100161</v>
      </c>
      <c r="AB116" s="3" t="s">
        <v>132</v>
      </c>
      <c r="AC116" s="4">
        <f ca="1">TODAY()-Open[[#This Row],[Status Date]]</f>
        <v>9</v>
      </c>
      <c r="AD116" s="3" t="s">
        <v>91</v>
      </c>
      <c r="AE116" t="str">
        <f t="shared" si="1"/>
        <v>Connor Bishop</v>
      </c>
      <c r="AF116" t="s">
        <v>1056</v>
      </c>
    </row>
    <row r="117" spans="1:32" x14ac:dyDescent="0.3">
      <c r="A117" s="3" t="s">
        <v>81</v>
      </c>
      <c r="B117" s="3" t="s">
        <v>82</v>
      </c>
      <c r="C117" s="3" t="s">
        <v>83</v>
      </c>
      <c r="D117" s="5">
        <v>45588</v>
      </c>
      <c r="E117" s="5">
        <v>45820</v>
      </c>
      <c r="F117" s="3" t="s">
        <v>30</v>
      </c>
      <c r="G117" s="3" t="s">
        <v>84</v>
      </c>
      <c r="H117" s="4">
        <v>604</v>
      </c>
      <c r="I117" s="4">
        <v>4261623</v>
      </c>
      <c r="J117" s="3" t="s">
        <v>591</v>
      </c>
      <c r="K117" s="3" t="s">
        <v>592</v>
      </c>
      <c r="L117" s="3" t="s">
        <v>593</v>
      </c>
      <c r="M117" s="5">
        <v>45520</v>
      </c>
      <c r="N117" s="3" t="s">
        <v>88</v>
      </c>
      <c r="O117" s="3" t="s">
        <v>89</v>
      </c>
      <c r="P117" s="3" t="s">
        <v>53</v>
      </c>
      <c r="Q117" s="6">
        <v>307.5</v>
      </c>
      <c r="R117" s="6">
        <v>307.5</v>
      </c>
      <c r="S117" s="5">
        <v>46195</v>
      </c>
      <c r="T117" s="3" t="s">
        <v>66</v>
      </c>
      <c r="U117" s="3" t="s">
        <v>79</v>
      </c>
      <c r="V117" s="3" t="s">
        <v>55</v>
      </c>
      <c r="W117" s="3" t="s">
        <v>32</v>
      </c>
      <c r="X117" s="3" t="s">
        <v>54</v>
      </c>
      <c r="Y117" s="3">
        <v>100191</v>
      </c>
      <c r="Z117" s="3" t="s">
        <v>137</v>
      </c>
      <c r="AA117" s="3">
        <v>100191</v>
      </c>
      <c r="AB117" s="3" t="s">
        <v>137</v>
      </c>
      <c r="AC117" s="4">
        <f ca="1">TODAY()-Open[[#This Row],[Status Date]]</f>
        <v>9</v>
      </c>
      <c r="AD117" s="3" t="s">
        <v>91</v>
      </c>
      <c r="AE117" t="str">
        <f t="shared" si="1"/>
        <v>Dominic Flores</v>
      </c>
      <c r="AF117" t="s">
        <v>1056</v>
      </c>
    </row>
    <row r="118" spans="1:32" x14ac:dyDescent="0.3">
      <c r="A118" s="3" t="s">
        <v>81</v>
      </c>
      <c r="B118" s="3" t="s">
        <v>82</v>
      </c>
      <c r="C118" s="3" t="s">
        <v>83</v>
      </c>
      <c r="D118" s="5">
        <v>45588</v>
      </c>
      <c r="E118" s="5">
        <v>45820</v>
      </c>
      <c r="F118" s="3" t="s">
        <v>30</v>
      </c>
      <c r="G118" s="3" t="s">
        <v>84</v>
      </c>
      <c r="H118" s="4">
        <v>604</v>
      </c>
      <c r="I118" s="4">
        <v>4262893</v>
      </c>
      <c r="J118" s="3" t="s">
        <v>594</v>
      </c>
      <c r="K118" s="3" t="s">
        <v>595</v>
      </c>
      <c r="L118" s="3" t="s">
        <v>596</v>
      </c>
      <c r="M118" s="5">
        <v>45521</v>
      </c>
      <c r="N118" s="3" t="s">
        <v>88</v>
      </c>
      <c r="O118" s="3" t="s">
        <v>89</v>
      </c>
      <c r="P118" s="3" t="s">
        <v>53</v>
      </c>
      <c r="Q118" s="6">
        <v>307.5</v>
      </c>
      <c r="R118" s="6">
        <v>307.5</v>
      </c>
      <c r="S118" s="5">
        <v>46195</v>
      </c>
      <c r="T118" s="3" t="s">
        <v>66</v>
      </c>
      <c r="U118" s="3" t="s">
        <v>79</v>
      </c>
      <c r="V118" s="3" t="s">
        <v>55</v>
      </c>
      <c r="W118" s="3" t="s">
        <v>32</v>
      </c>
      <c r="X118" s="3" t="s">
        <v>54</v>
      </c>
      <c r="Y118" s="3">
        <v>100201</v>
      </c>
      <c r="Z118" s="3" t="s">
        <v>306</v>
      </c>
      <c r="AA118" s="3">
        <v>100201</v>
      </c>
      <c r="AB118" s="3" t="s">
        <v>306</v>
      </c>
      <c r="AC118" s="4">
        <f ca="1">TODAY()-Open[[#This Row],[Status Date]]</f>
        <v>9</v>
      </c>
      <c r="AD118" s="3" t="s">
        <v>91</v>
      </c>
      <c r="AE118" t="str">
        <f t="shared" si="1"/>
        <v>Aiden Harper</v>
      </c>
      <c r="AF118" t="s">
        <v>1056</v>
      </c>
    </row>
    <row r="119" spans="1:32" x14ac:dyDescent="0.3">
      <c r="A119" s="3" t="s">
        <v>81</v>
      </c>
      <c r="B119" s="3" t="s">
        <v>82</v>
      </c>
      <c r="C119" s="3" t="s">
        <v>83</v>
      </c>
      <c r="D119" s="5">
        <v>45588</v>
      </c>
      <c r="E119" s="5">
        <v>45820</v>
      </c>
      <c r="F119" s="3" t="s">
        <v>30</v>
      </c>
      <c r="G119" s="3" t="s">
        <v>84</v>
      </c>
      <c r="H119" s="4">
        <v>604</v>
      </c>
      <c r="I119" s="4">
        <v>4264353</v>
      </c>
      <c r="J119" s="3" t="s">
        <v>597</v>
      </c>
      <c r="K119" s="3" t="s">
        <v>598</v>
      </c>
      <c r="L119" s="3" t="s">
        <v>599</v>
      </c>
      <c r="M119" s="5">
        <v>45521</v>
      </c>
      <c r="N119" s="3" t="s">
        <v>88</v>
      </c>
      <c r="O119" s="3" t="s">
        <v>89</v>
      </c>
      <c r="P119" s="3" t="s">
        <v>53</v>
      </c>
      <c r="Q119" s="6">
        <v>307.5</v>
      </c>
      <c r="R119" s="6">
        <v>307.5</v>
      </c>
      <c r="S119" s="5">
        <v>46195</v>
      </c>
      <c r="T119" s="3" t="s">
        <v>66</v>
      </c>
      <c r="U119" s="3" t="s">
        <v>79</v>
      </c>
      <c r="V119" s="3" t="s">
        <v>55</v>
      </c>
      <c r="W119" s="3" t="s">
        <v>32</v>
      </c>
      <c r="X119" s="3" t="s">
        <v>54</v>
      </c>
      <c r="Y119" s="3">
        <v>100231</v>
      </c>
      <c r="Z119" s="3" t="s">
        <v>310</v>
      </c>
      <c r="AA119" s="3">
        <v>100231</v>
      </c>
      <c r="AB119" s="3" t="s">
        <v>310</v>
      </c>
      <c r="AC119" s="4">
        <f ca="1">TODAY()-Open[[#This Row],[Status Date]]</f>
        <v>9</v>
      </c>
      <c r="AD119" s="3" t="s">
        <v>91</v>
      </c>
      <c r="AE119" t="str">
        <f t="shared" si="1"/>
        <v>Jackson Norris</v>
      </c>
      <c r="AF119" t="s">
        <v>1056</v>
      </c>
    </row>
    <row r="120" spans="1:32" x14ac:dyDescent="0.3">
      <c r="A120" s="3" t="s">
        <v>81</v>
      </c>
      <c r="B120" s="3" t="s">
        <v>82</v>
      </c>
      <c r="C120" s="3" t="s">
        <v>83</v>
      </c>
      <c r="D120" s="5">
        <v>45588</v>
      </c>
      <c r="E120" s="5">
        <v>45820</v>
      </c>
      <c r="F120" s="3" t="s">
        <v>30</v>
      </c>
      <c r="G120" s="3" t="s">
        <v>84</v>
      </c>
      <c r="H120" s="4">
        <v>604</v>
      </c>
      <c r="I120" s="4">
        <v>4264333</v>
      </c>
      <c r="J120" s="3" t="s">
        <v>600</v>
      </c>
      <c r="K120" s="3" t="s">
        <v>601</v>
      </c>
      <c r="L120" s="3" t="s">
        <v>602</v>
      </c>
      <c r="M120" s="5">
        <v>45521</v>
      </c>
      <c r="N120" s="3" t="s">
        <v>88</v>
      </c>
      <c r="O120" s="3" t="s">
        <v>89</v>
      </c>
      <c r="P120" s="3" t="s">
        <v>53</v>
      </c>
      <c r="Q120" s="6">
        <v>307.5</v>
      </c>
      <c r="R120" s="6">
        <v>307.5</v>
      </c>
      <c r="S120" s="5">
        <v>46195</v>
      </c>
      <c r="T120" s="3" t="s">
        <v>66</v>
      </c>
      <c r="U120" s="3" t="s">
        <v>79</v>
      </c>
      <c r="V120" s="3" t="s">
        <v>55</v>
      </c>
      <c r="W120" s="3" t="s">
        <v>32</v>
      </c>
      <c r="X120" s="3" t="s">
        <v>54</v>
      </c>
      <c r="Y120" s="3">
        <v>100241</v>
      </c>
      <c r="Z120" s="3" t="s">
        <v>314</v>
      </c>
      <c r="AA120" s="3">
        <v>100241</v>
      </c>
      <c r="AB120" s="3" t="s">
        <v>314</v>
      </c>
      <c r="AC120" s="4">
        <f ca="1">TODAY()-Open[[#This Row],[Status Date]]</f>
        <v>9</v>
      </c>
      <c r="AD120" s="3" t="s">
        <v>91</v>
      </c>
      <c r="AE120" t="str">
        <f t="shared" si="1"/>
        <v>Leah Pearson</v>
      </c>
      <c r="AF120" t="s">
        <v>1056</v>
      </c>
    </row>
    <row r="121" spans="1:32" x14ac:dyDescent="0.3">
      <c r="A121" s="3" t="s">
        <v>81</v>
      </c>
      <c r="B121" s="3" t="s">
        <v>82</v>
      </c>
      <c r="C121" s="3" t="s">
        <v>83</v>
      </c>
      <c r="D121" s="5">
        <v>45588</v>
      </c>
      <c r="E121" s="5">
        <v>45820</v>
      </c>
      <c r="F121" s="3" t="s">
        <v>30</v>
      </c>
      <c r="G121" s="3" t="s">
        <v>84</v>
      </c>
      <c r="H121" s="4">
        <v>604</v>
      </c>
      <c r="I121" s="4">
        <v>4264393</v>
      </c>
      <c r="J121" s="3" t="s">
        <v>603</v>
      </c>
      <c r="K121" s="3" t="s">
        <v>604</v>
      </c>
      <c r="L121" s="3" t="s">
        <v>605</v>
      </c>
      <c r="M121" s="5">
        <v>45521</v>
      </c>
      <c r="N121" s="3" t="s">
        <v>88</v>
      </c>
      <c r="O121" s="3" t="s">
        <v>89</v>
      </c>
      <c r="P121" s="3" t="s">
        <v>53</v>
      </c>
      <c r="Q121" s="6">
        <v>307.5</v>
      </c>
      <c r="R121" s="6">
        <v>307.5</v>
      </c>
      <c r="S121" s="5">
        <v>46195</v>
      </c>
      <c r="T121" s="3" t="s">
        <v>66</v>
      </c>
      <c r="U121" s="3" t="s">
        <v>79</v>
      </c>
      <c r="V121" s="3" t="s">
        <v>55</v>
      </c>
      <c r="W121" s="3" t="s">
        <v>32</v>
      </c>
      <c r="X121" s="3" t="s">
        <v>54</v>
      </c>
      <c r="Y121" s="3">
        <v>100271</v>
      </c>
      <c r="Z121" s="3" t="s">
        <v>318</v>
      </c>
      <c r="AA121" s="3">
        <v>100271</v>
      </c>
      <c r="AB121" s="3" t="s">
        <v>318</v>
      </c>
      <c r="AC121" s="4">
        <f ca="1">TODAY()-Open[[#This Row],[Status Date]]</f>
        <v>9</v>
      </c>
      <c r="AD121" s="3" t="s">
        <v>91</v>
      </c>
      <c r="AE121" t="str">
        <f t="shared" si="1"/>
        <v>Brooke Palmer</v>
      </c>
      <c r="AF121" t="s">
        <v>1056</v>
      </c>
    </row>
    <row r="122" spans="1:32" x14ac:dyDescent="0.3">
      <c r="A122" s="3" t="s">
        <v>81</v>
      </c>
      <c r="B122" s="3" t="s">
        <v>82</v>
      </c>
      <c r="C122" s="3" t="s">
        <v>83</v>
      </c>
      <c r="D122" s="5">
        <v>45588</v>
      </c>
      <c r="E122" s="5">
        <v>45820</v>
      </c>
      <c r="F122" s="3" t="s">
        <v>30</v>
      </c>
      <c r="G122" s="3" t="s">
        <v>84</v>
      </c>
      <c r="H122" s="4">
        <v>604</v>
      </c>
      <c r="I122" s="4">
        <v>4264383</v>
      </c>
      <c r="J122" s="3" t="s">
        <v>606</v>
      </c>
      <c r="K122" s="3" t="s">
        <v>607</v>
      </c>
      <c r="L122" s="3" t="s">
        <v>608</v>
      </c>
      <c r="M122" s="5">
        <v>45521</v>
      </c>
      <c r="N122" s="3" t="s">
        <v>88</v>
      </c>
      <c r="O122" s="3" t="s">
        <v>89</v>
      </c>
      <c r="P122" s="3" t="s">
        <v>53</v>
      </c>
      <c r="Q122" s="6">
        <v>307.5</v>
      </c>
      <c r="R122" s="6">
        <v>307.5</v>
      </c>
      <c r="S122" s="5">
        <v>46195</v>
      </c>
      <c r="T122" s="3" t="s">
        <v>66</v>
      </c>
      <c r="U122" s="3" t="s">
        <v>79</v>
      </c>
      <c r="V122" s="3" t="s">
        <v>55</v>
      </c>
      <c r="W122" s="3" t="s">
        <v>32</v>
      </c>
      <c r="X122" s="3" t="s">
        <v>54</v>
      </c>
      <c r="Y122" s="3">
        <v>100281</v>
      </c>
      <c r="Z122" s="3" t="s">
        <v>322</v>
      </c>
      <c r="AA122" s="3">
        <v>100281</v>
      </c>
      <c r="AB122" s="3" t="s">
        <v>322</v>
      </c>
      <c r="AC122" s="4">
        <f ca="1">TODAY()-Open[[#This Row],[Status Date]]</f>
        <v>9</v>
      </c>
      <c r="AD122" s="3" t="s">
        <v>91</v>
      </c>
      <c r="AE122" t="str">
        <f t="shared" si="1"/>
        <v>Grace Whitaker</v>
      </c>
      <c r="AF122" t="s">
        <v>1056</v>
      </c>
    </row>
    <row r="123" spans="1:32" x14ac:dyDescent="0.3">
      <c r="A123" s="3" t="s">
        <v>81</v>
      </c>
      <c r="B123" s="3" t="s">
        <v>82</v>
      </c>
      <c r="C123" s="3" t="s">
        <v>83</v>
      </c>
      <c r="D123" s="5">
        <v>45588</v>
      </c>
      <c r="E123" s="5">
        <v>45820</v>
      </c>
      <c r="F123" s="3" t="s">
        <v>30</v>
      </c>
      <c r="G123" s="3" t="s">
        <v>84</v>
      </c>
      <c r="H123" s="4">
        <v>604</v>
      </c>
      <c r="I123" s="4">
        <v>4264483</v>
      </c>
      <c r="J123" s="3" t="s">
        <v>609</v>
      </c>
      <c r="K123" s="3" t="s">
        <v>610</v>
      </c>
      <c r="L123" s="3" t="s">
        <v>611</v>
      </c>
      <c r="M123" s="5">
        <v>45526</v>
      </c>
      <c r="N123" s="3" t="s">
        <v>88</v>
      </c>
      <c r="O123" s="3" t="s">
        <v>89</v>
      </c>
      <c r="P123" s="3" t="s">
        <v>53</v>
      </c>
      <c r="Q123" s="6">
        <v>386.25</v>
      </c>
      <c r="R123" s="6">
        <v>386.25</v>
      </c>
      <c r="S123" s="5">
        <v>46195</v>
      </c>
      <c r="T123" s="3" t="s">
        <v>66</v>
      </c>
      <c r="U123" s="3" t="s">
        <v>79</v>
      </c>
      <c r="V123" s="3" t="s">
        <v>55</v>
      </c>
      <c r="W123" s="3" t="s">
        <v>32</v>
      </c>
      <c r="X123" s="3" t="s">
        <v>54</v>
      </c>
      <c r="Y123" s="3">
        <v>100111</v>
      </c>
      <c r="Z123" s="3" t="s">
        <v>90</v>
      </c>
      <c r="AA123" s="3">
        <v>100111</v>
      </c>
      <c r="AB123" s="3" t="s">
        <v>90</v>
      </c>
      <c r="AC123" s="4">
        <f ca="1">TODAY()-Open[[#This Row],[Status Date]]</f>
        <v>9</v>
      </c>
      <c r="AD123" s="3" t="s">
        <v>91</v>
      </c>
      <c r="AE123" t="str">
        <f t="shared" si="1"/>
        <v>Andrew Ross</v>
      </c>
      <c r="AF123" t="s">
        <v>1056</v>
      </c>
    </row>
    <row r="124" spans="1:32" x14ac:dyDescent="0.3">
      <c r="A124" s="3" t="s">
        <v>81</v>
      </c>
      <c r="B124" s="3" t="s">
        <v>82</v>
      </c>
      <c r="C124" s="3" t="s">
        <v>83</v>
      </c>
      <c r="D124" s="5">
        <v>45588</v>
      </c>
      <c r="E124" s="5">
        <v>45820</v>
      </c>
      <c r="F124" s="3" t="s">
        <v>30</v>
      </c>
      <c r="G124" s="3" t="s">
        <v>84</v>
      </c>
      <c r="H124" s="4">
        <v>604</v>
      </c>
      <c r="I124" s="4">
        <v>4264403</v>
      </c>
      <c r="J124" s="3" t="s">
        <v>612</v>
      </c>
      <c r="K124" s="3" t="s">
        <v>613</v>
      </c>
      <c r="L124" s="3" t="s">
        <v>614</v>
      </c>
      <c r="M124" s="5">
        <v>45526</v>
      </c>
      <c r="N124" s="3" t="s">
        <v>88</v>
      </c>
      <c r="O124" s="3" t="s">
        <v>89</v>
      </c>
      <c r="P124" s="3" t="s">
        <v>53</v>
      </c>
      <c r="Q124" s="6">
        <v>307.5</v>
      </c>
      <c r="R124" s="6">
        <v>307.5</v>
      </c>
      <c r="S124" s="5">
        <v>46195</v>
      </c>
      <c r="T124" s="3" t="s">
        <v>66</v>
      </c>
      <c r="U124" s="3" t="s">
        <v>79</v>
      </c>
      <c r="V124" s="3" t="s">
        <v>55</v>
      </c>
      <c r="W124" s="3" t="s">
        <v>32</v>
      </c>
      <c r="X124" s="3" t="s">
        <v>54</v>
      </c>
      <c r="Y124" s="3">
        <v>100121</v>
      </c>
      <c r="Z124" s="3" t="s">
        <v>103</v>
      </c>
      <c r="AA124" s="3">
        <v>100121</v>
      </c>
      <c r="AB124" s="3" t="s">
        <v>103</v>
      </c>
      <c r="AC124" s="4">
        <f ca="1">TODAY()-Open[[#This Row],[Status Date]]</f>
        <v>9</v>
      </c>
      <c r="AD124" s="3" t="s">
        <v>91</v>
      </c>
      <c r="AE124" t="str">
        <f t="shared" si="1"/>
        <v>Olivia Jenkins</v>
      </c>
      <c r="AF124" t="s">
        <v>1056</v>
      </c>
    </row>
    <row r="125" spans="1:32" x14ac:dyDescent="0.3">
      <c r="A125" s="3" t="s">
        <v>81</v>
      </c>
      <c r="B125" s="3" t="s">
        <v>82</v>
      </c>
      <c r="C125" s="3" t="s">
        <v>83</v>
      </c>
      <c r="D125" s="5">
        <v>45645</v>
      </c>
      <c r="E125" s="5">
        <v>45820</v>
      </c>
      <c r="F125" s="3" t="s">
        <v>30</v>
      </c>
      <c r="G125" s="3" t="s">
        <v>84</v>
      </c>
      <c r="H125" s="4">
        <v>547</v>
      </c>
      <c r="I125" s="4">
        <v>4275142</v>
      </c>
      <c r="J125" s="3" t="s">
        <v>615</v>
      </c>
      <c r="K125" s="3" t="s">
        <v>616</v>
      </c>
      <c r="L125" s="3" t="s">
        <v>617</v>
      </c>
      <c r="M125" s="5">
        <v>45608</v>
      </c>
      <c r="N125" s="3" t="s">
        <v>88</v>
      </c>
      <c r="O125" s="3" t="s">
        <v>89</v>
      </c>
      <c r="P125" s="3" t="s">
        <v>44</v>
      </c>
      <c r="Q125" s="6">
        <v>104.95</v>
      </c>
      <c r="R125" s="6">
        <v>104.95</v>
      </c>
      <c r="S125" s="5">
        <v>46195</v>
      </c>
      <c r="T125" s="3" t="s">
        <v>72</v>
      </c>
      <c r="U125" s="3" t="s">
        <v>112</v>
      </c>
      <c r="V125" s="3" t="s">
        <v>55</v>
      </c>
      <c r="W125" s="3" t="s">
        <v>32</v>
      </c>
      <c r="X125" s="3" t="s">
        <v>45</v>
      </c>
      <c r="Y125" s="3">
        <v>100181</v>
      </c>
      <c r="Z125" s="3" t="s">
        <v>127</v>
      </c>
      <c r="AA125" s="3">
        <v>100151</v>
      </c>
      <c r="AB125" s="3" t="s">
        <v>108</v>
      </c>
      <c r="AC125" s="4">
        <f ca="1">TODAY()-Open[[#This Row],[Status Date]]</f>
        <v>9</v>
      </c>
      <c r="AD125" s="3" t="s">
        <v>91</v>
      </c>
      <c r="AE125" t="str">
        <f t="shared" si="1"/>
        <v>Mason Reynolds</v>
      </c>
      <c r="AF125" t="s">
        <v>1053</v>
      </c>
    </row>
    <row r="126" spans="1:32" x14ac:dyDescent="0.3">
      <c r="A126" s="3" t="s">
        <v>81</v>
      </c>
      <c r="B126" s="3" t="s">
        <v>82</v>
      </c>
      <c r="C126" s="3" t="s">
        <v>83</v>
      </c>
      <c r="D126" s="5">
        <v>45687</v>
      </c>
      <c r="E126" s="5">
        <v>46162</v>
      </c>
      <c r="F126" s="3" t="s">
        <v>30</v>
      </c>
      <c r="G126" s="3" t="s">
        <v>84</v>
      </c>
      <c r="H126" s="4">
        <v>505</v>
      </c>
      <c r="I126" s="4">
        <v>4303812</v>
      </c>
      <c r="J126" s="3" t="s">
        <v>627</v>
      </c>
      <c r="K126" s="3" t="s">
        <v>628</v>
      </c>
      <c r="L126" s="3" t="s">
        <v>629</v>
      </c>
      <c r="M126" s="5">
        <v>45686</v>
      </c>
      <c r="N126" s="3" t="s">
        <v>403</v>
      </c>
      <c r="O126" s="3" t="s">
        <v>404</v>
      </c>
      <c r="P126" s="3" t="s">
        <v>48</v>
      </c>
      <c r="Q126" s="6">
        <v>1528.47</v>
      </c>
      <c r="R126" s="6">
        <v>1528.47</v>
      </c>
      <c r="S126" s="5">
        <v>46188</v>
      </c>
      <c r="T126" s="3" t="s">
        <v>74</v>
      </c>
      <c r="U126" s="3" t="s">
        <v>75</v>
      </c>
      <c r="V126" s="3" t="s">
        <v>49</v>
      </c>
      <c r="W126" s="3" t="s">
        <v>80</v>
      </c>
      <c r="X126" s="3" t="s">
        <v>50</v>
      </c>
      <c r="Y126" s="3">
        <v>100131</v>
      </c>
      <c r="Z126" s="3" t="s">
        <v>98</v>
      </c>
      <c r="AA126" s="3">
        <v>100111</v>
      </c>
      <c r="AB126" s="3" t="s">
        <v>90</v>
      </c>
      <c r="AC126" s="4">
        <f ca="1">TODAY()-Open[[#This Row],[Status Date]]</f>
        <v>16</v>
      </c>
      <c r="AD126" s="3" t="s">
        <v>91</v>
      </c>
      <c r="AE126" t="str">
        <f t="shared" si="1"/>
        <v>Andrew Ross</v>
      </c>
      <c r="AF126" t="s">
        <v>1058</v>
      </c>
    </row>
    <row r="127" spans="1:32" x14ac:dyDescent="0.3">
      <c r="A127" s="3" t="s">
        <v>81</v>
      </c>
      <c r="B127" s="3" t="s">
        <v>82</v>
      </c>
      <c r="C127" s="3" t="s">
        <v>83</v>
      </c>
      <c r="D127" s="5">
        <v>45701</v>
      </c>
      <c r="E127" s="5">
        <v>46122</v>
      </c>
      <c r="F127" s="3" t="s">
        <v>30</v>
      </c>
      <c r="G127" s="3" t="s">
        <v>84</v>
      </c>
      <c r="H127" s="4">
        <v>491</v>
      </c>
      <c r="I127" s="4">
        <v>4308382</v>
      </c>
      <c r="J127" s="3" t="s">
        <v>630</v>
      </c>
      <c r="K127" s="3" t="s">
        <v>631</v>
      </c>
      <c r="L127" s="3" t="s">
        <v>632</v>
      </c>
      <c r="M127" s="5">
        <v>45264</v>
      </c>
      <c r="N127" s="3" t="s">
        <v>403</v>
      </c>
      <c r="O127" s="3" t="s">
        <v>404</v>
      </c>
      <c r="P127" s="3" t="s">
        <v>34</v>
      </c>
      <c r="Q127" s="6">
        <v>5229.75</v>
      </c>
      <c r="R127" s="6">
        <v>5229.75</v>
      </c>
      <c r="S127" s="5">
        <v>46188</v>
      </c>
      <c r="T127" s="3" t="s">
        <v>66</v>
      </c>
      <c r="U127" s="3" t="s">
        <v>79</v>
      </c>
      <c r="V127" s="3" t="s">
        <v>49</v>
      </c>
      <c r="W127" s="3" t="s">
        <v>80</v>
      </c>
      <c r="X127" s="3" t="s">
        <v>35</v>
      </c>
      <c r="Y127" s="3">
        <v>100151</v>
      </c>
      <c r="Z127" s="3" t="s">
        <v>108</v>
      </c>
      <c r="AA127" s="3">
        <v>100151</v>
      </c>
      <c r="AB127" s="3" t="s">
        <v>108</v>
      </c>
      <c r="AC127" s="4">
        <f ca="1">TODAY()-Open[[#This Row],[Status Date]]</f>
        <v>16</v>
      </c>
      <c r="AD127" s="3" t="s">
        <v>91</v>
      </c>
      <c r="AE127" t="str">
        <f t="shared" si="1"/>
        <v>Mason Reynolds</v>
      </c>
      <c r="AF127" t="s">
        <v>1055</v>
      </c>
    </row>
    <row r="128" spans="1:32" x14ac:dyDescent="0.3">
      <c r="A128" s="3" t="s">
        <v>81</v>
      </c>
      <c r="B128" s="3" t="s">
        <v>82</v>
      </c>
      <c r="C128" s="3" t="s">
        <v>83</v>
      </c>
      <c r="D128" s="5">
        <v>45719</v>
      </c>
      <c r="E128" s="5">
        <v>46162</v>
      </c>
      <c r="F128" s="3" t="s">
        <v>30</v>
      </c>
      <c r="G128" s="3" t="s">
        <v>84</v>
      </c>
      <c r="H128" s="4">
        <v>473</v>
      </c>
      <c r="I128" s="4">
        <v>4314212</v>
      </c>
      <c r="J128" s="3" t="s">
        <v>636</v>
      </c>
      <c r="K128" s="3" t="s">
        <v>637</v>
      </c>
      <c r="L128" s="3" t="s">
        <v>638</v>
      </c>
      <c r="M128" s="5">
        <v>45681</v>
      </c>
      <c r="N128" s="3" t="s">
        <v>403</v>
      </c>
      <c r="O128" s="3" t="s">
        <v>404</v>
      </c>
      <c r="P128" s="3" t="s">
        <v>46</v>
      </c>
      <c r="Q128" s="6">
        <v>15757.04</v>
      </c>
      <c r="R128" s="6">
        <v>87747.92</v>
      </c>
      <c r="S128" s="5">
        <v>46188</v>
      </c>
      <c r="T128" s="3" t="s">
        <v>66</v>
      </c>
      <c r="U128" s="3" t="s">
        <v>79</v>
      </c>
      <c r="V128" s="3" t="s">
        <v>49</v>
      </c>
      <c r="W128" s="3" t="s">
        <v>80</v>
      </c>
      <c r="X128" s="3" t="s">
        <v>47</v>
      </c>
      <c r="Y128" s="3">
        <v>100161</v>
      </c>
      <c r="Z128" s="3" t="s">
        <v>132</v>
      </c>
      <c r="AA128" s="3">
        <v>100161</v>
      </c>
      <c r="AB128" s="3" t="s">
        <v>132</v>
      </c>
      <c r="AC128" s="4">
        <f ca="1">TODAY()-Open[[#This Row],[Status Date]]</f>
        <v>16</v>
      </c>
      <c r="AD128" s="3" t="s">
        <v>91</v>
      </c>
      <c r="AE128" t="str">
        <f t="shared" si="1"/>
        <v>Connor Bishop</v>
      </c>
      <c r="AF128" t="s">
        <v>1059</v>
      </c>
    </row>
    <row r="129" spans="1:32" x14ac:dyDescent="0.3">
      <c r="A129" s="3" t="s">
        <v>81</v>
      </c>
      <c r="B129" s="3" t="s">
        <v>82</v>
      </c>
      <c r="C129" s="3" t="s">
        <v>83</v>
      </c>
      <c r="D129" s="5">
        <v>45722</v>
      </c>
      <c r="E129" s="5">
        <v>46162</v>
      </c>
      <c r="F129" s="3" t="s">
        <v>30</v>
      </c>
      <c r="G129" s="3" t="s">
        <v>84</v>
      </c>
      <c r="H129" s="4">
        <v>470</v>
      </c>
      <c r="I129" s="4">
        <v>4314222</v>
      </c>
      <c r="J129" s="3" t="s">
        <v>639</v>
      </c>
      <c r="K129" s="3" t="s">
        <v>640</v>
      </c>
      <c r="L129" s="3" t="s">
        <v>641</v>
      </c>
      <c r="M129" s="5">
        <v>45597</v>
      </c>
      <c r="N129" s="3" t="s">
        <v>403</v>
      </c>
      <c r="O129" s="3" t="s">
        <v>404</v>
      </c>
      <c r="P129" s="3" t="s">
        <v>40</v>
      </c>
      <c r="Q129" s="6">
        <v>2260</v>
      </c>
      <c r="R129" s="6">
        <v>2260</v>
      </c>
      <c r="S129" s="5">
        <v>46188</v>
      </c>
      <c r="T129" s="3" t="s">
        <v>66</v>
      </c>
      <c r="U129" s="3" t="s">
        <v>79</v>
      </c>
      <c r="V129" s="3" t="s">
        <v>49</v>
      </c>
      <c r="W129" s="3" t="s">
        <v>80</v>
      </c>
      <c r="X129" s="3" t="s">
        <v>41</v>
      </c>
      <c r="Y129" s="3">
        <v>100191</v>
      </c>
      <c r="Z129" s="3" t="s">
        <v>137</v>
      </c>
      <c r="AA129" s="3">
        <v>100191</v>
      </c>
      <c r="AB129" s="3" t="s">
        <v>137</v>
      </c>
      <c r="AC129" s="4">
        <f ca="1">TODAY()-Open[[#This Row],[Status Date]]</f>
        <v>16</v>
      </c>
      <c r="AD129" s="3" t="s">
        <v>91</v>
      </c>
      <c r="AE129" t="str">
        <f t="shared" si="1"/>
        <v>Dominic Flores</v>
      </c>
      <c r="AF129" t="s">
        <v>1060</v>
      </c>
    </row>
    <row r="130" spans="1:32" x14ac:dyDescent="0.3">
      <c r="A130" s="3" t="s">
        <v>81</v>
      </c>
      <c r="B130" s="3" t="s">
        <v>82</v>
      </c>
      <c r="C130" s="3" t="s">
        <v>83</v>
      </c>
      <c r="D130" s="5">
        <v>45778</v>
      </c>
      <c r="E130" s="5">
        <v>46162</v>
      </c>
      <c r="F130" s="3" t="s">
        <v>30</v>
      </c>
      <c r="G130" s="3" t="s">
        <v>84</v>
      </c>
      <c r="H130" s="4">
        <v>414</v>
      </c>
      <c r="I130" s="4">
        <v>4324812</v>
      </c>
      <c r="J130" s="3" t="s">
        <v>654</v>
      </c>
      <c r="K130" s="3" t="s">
        <v>655</v>
      </c>
      <c r="L130" s="3" t="s">
        <v>656</v>
      </c>
      <c r="M130" s="5">
        <v>45777</v>
      </c>
      <c r="N130" s="3" t="s">
        <v>403</v>
      </c>
      <c r="O130" s="3" t="s">
        <v>404</v>
      </c>
      <c r="P130" s="3" t="s">
        <v>34</v>
      </c>
      <c r="Q130" s="6">
        <v>720</v>
      </c>
      <c r="R130" s="6">
        <v>720</v>
      </c>
      <c r="S130" s="5">
        <v>46188</v>
      </c>
      <c r="T130" s="3" t="s">
        <v>66</v>
      </c>
      <c r="U130" s="3" t="s">
        <v>79</v>
      </c>
      <c r="V130" s="3" t="s">
        <v>49</v>
      </c>
      <c r="W130" s="3" t="s">
        <v>80</v>
      </c>
      <c r="X130" s="3" t="s">
        <v>35</v>
      </c>
      <c r="Y130" s="3">
        <v>100201</v>
      </c>
      <c r="Z130" s="3" t="s">
        <v>306</v>
      </c>
      <c r="AA130" s="3">
        <v>100201</v>
      </c>
      <c r="AB130" s="3" t="s">
        <v>306</v>
      </c>
      <c r="AC130" s="4">
        <f ca="1">TODAY()-Open[[#This Row],[Status Date]]</f>
        <v>16</v>
      </c>
      <c r="AD130" s="3" t="s">
        <v>91</v>
      </c>
      <c r="AE130" t="str">
        <f t="shared" ref="AE130:AE193" si="2">AB130</f>
        <v>Aiden Harper</v>
      </c>
      <c r="AF130" t="s">
        <v>1055</v>
      </c>
    </row>
    <row r="131" spans="1:32" x14ac:dyDescent="0.3">
      <c r="A131" s="3" t="s">
        <v>81</v>
      </c>
      <c r="B131" s="3" t="s">
        <v>82</v>
      </c>
      <c r="C131" s="3" t="s">
        <v>83</v>
      </c>
      <c r="D131" s="5">
        <v>45778</v>
      </c>
      <c r="E131" s="5">
        <v>45820</v>
      </c>
      <c r="F131" s="3" t="s">
        <v>30</v>
      </c>
      <c r="G131" s="3" t="s">
        <v>84</v>
      </c>
      <c r="H131" s="4">
        <v>414</v>
      </c>
      <c r="I131" s="4">
        <v>4327591</v>
      </c>
      <c r="J131" s="3" t="s">
        <v>657</v>
      </c>
      <c r="K131" s="3" t="s">
        <v>658</v>
      </c>
      <c r="L131" s="3" t="s">
        <v>659</v>
      </c>
      <c r="M131" s="5">
        <v>45674</v>
      </c>
      <c r="N131" s="3" t="s">
        <v>88</v>
      </c>
      <c r="O131" s="3" t="s">
        <v>89</v>
      </c>
      <c r="P131" s="3" t="s">
        <v>53</v>
      </c>
      <c r="Q131" s="6">
        <v>386.25</v>
      </c>
      <c r="R131" s="6">
        <v>386.25</v>
      </c>
      <c r="S131" s="5">
        <v>46195</v>
      </c>
      <c r="T131" s="3" t="s">
        <v>66</v>
      </c>
      <c r="U131" s="3" t="s">
        <v>79</v>
      </c>
      <c r="V131" s="3" t="s">
        <v>55</v>
      </c>
      <c r="W131" s="3" t="s">
        <v>32</v>
      </c>
      <c r="X131" s="3" t="s">
        <v>54</v>
      </c>
      <c r="Y131" s="3">
        <v>100231</v>
      </c>
      <c r="Z131" s="3" t="s">
        <v>310</v>
      </c>
      <c r="AA131" s="3">
        <v>100231</v>
      </c>
      <c r="AB131" s="3" t="s">
        <v>310</v>
      </c>
      <c r="AC131" s="4">
        <f ca="1">TODAY()-Open[[#This Row],[Status Date]]</f>
        <v>9</v>
      </c>
      <c r="AD131" s="3" t="s">
        <v>91</v>
      </c>
      <c r="AE131" t="str">
        <f t="shared" si="2"/>
        <v>Jackson Norris</v>
      </c>
      <c r="AF131" t="s">
        <v>1056</v>
      </c>
    </row>
    <row r="132" spans="1:32" x14ac:dyDescent="0.3">
      <c r="A132" s="3" t="s">
        <v>81</v>
      </c>
      <c r="B132" s="3" t="s">
        <v>82</v>
      </c>
      <c r="C132" s="3" t="s">
        <v>83</v>
      </c>
      <c r="D132" s="5">
        <v>45783</v>
      </c>
      <c r="E132" s="5">
        <v>46181</v>
      </c>
      <c r="F132" s="3" t="s">
        <v>30</v>
      </c>
      <c r="G132" s="3" t="s">
        <v>84</v>
      </c>
      <c r="H132" s="4">
        <v>409</v>
      </c>
      <c r="I132" s="4">
        <v>4328411</v>
      </c>
      <c r="J132" s="3" t="s">
        <v>660</v>
      </c>
      <c r="K132" s="3" t="s">
        <v>661</v>
      </c>
      <c r="L132" s="3" t="s">
        <v>662</v>
      </c>
      <c r="M132" s="5">
        <v>45771</v>
      </c>
      <c r="N132" s="3" t="s">
        <v>663</v>
      </c>
      <c r="O132" s="3" t="s">
        <v>664</v>
      </c>
      <c r="P132" s="3" t="s">
        <v>46</v>
      </c>
      <c r="Q132" s="6">
        <v>1250</v>
      </c>
      <c r="R132" s="6">
        <v>9860</v>
      </c>
      <c r="S132" s="5">
        <v>46188</v>
      </c>
      <c r="T132" s="3" t="s">
        <v>66</v>
      </c>
      <c r="U132" s="3" t="s">
        <v>79</v>
      </c>
      <c r="V132" s="3" t="s">
        <v>49</v>
      </c>
      <c r="W132" s="3" t="s">
        <v>80</v>
      </c>
      <c r="X132" s="3" t="s">
        <v>47</v>
      </c>
      <c r="Y132" s="3">
        <v>100241</v>
      </c>
      <c r="Z132" s="3" t="s">
        <v>314</v>
      </c>
      <c r="AA132" s="3">
        <v>100241</v>
      </c>
      <c r="AB132" s="3" t="s">
        <v>314</v>
      </c>
      <c r="AC132" s="4">
        <f ca="1">TODAY()-Open[[#This Row],[Status Date]]</f>
        <v>16</v>
      </c>
      <c r="AD132" s="3" t="s">
        <v>91</v>
      </c>
      <c r="AE132" t="str">
        <f t="shared" si="2"/>
        <v>Leah Pearson</v>
      </c>
      <c r="AF132" t="s">
        <v>1059</v>
      </c>
    </row>
    <row r="133" spans="1:32" x14ac:dyDescent="0.3">
      <c r="A133" s="3" t="s">
        <v>81</v>
      </c>
      <c r="B133" s="3" t="s">
        <v>82</v>
      </c>
      <c r="C133" s="3" t="s">
        <v>83</v>
      </c>
      <c r="D133" s="5">
        <v>45807</v>
      </c>
      <c r="E133" s="5">
        <v>46122</v>
      </c>
      <c r="F133" s="3" t="s">
        <v>30</v>
      </c>
      <c r="G133" s="3" t="s">
        <v>84</v>
      </c>
      <c r="H133" s="4">
        <v>385</v>
      </c>
      <c r="I133" s="4">
        <v>4330111</v>
      </c>
      <c r="J133" s="3" t="s">
        <v>665</v>
      </c>
      <c r="K133" s="3" t="s">
        <v>666</v>
      </c>
      <c r="L133" s="3" t="s">
        <v>667</v>
      </c>
      <c r="M133" s="5">
        <v>45805</v>
      </c>
      <c r="N133" s="3" t="s">
        <v>403</v>
      </c>
      <c r="O133" s="3" t="s">
        <v>404</v>
      </c>
      <c r="P133" s="3" t="s">
        <v>48</v>
      </c>
      <c r="Q133" s="6">
        <v>3126.82</v>
      </c>
      <c r="R133" s="6">
        <v>3126.82</v>
      </c>
      <c r="S133" s="5">
        <v>46188</v>
      </c>
      <c r="T133" s="3" t="s">
        <v>74</v>
      </c>
      <c r="U133" s="3" t="s">
        <v>75</v>
      </c>
      <c r="V133" s="3" t="s">
        <v>49</v>
      </c>
      <c r="W133" s="3" t="s">
        <v>80</v>
      </c>
      <c r="X133" s="3" t="s">
        <v>50</v>
      </c>
      <c r="Y133" s="3">
        <v>100171</v>
      </c>
      <c r="Z133" s="3" t="s">
        <v>102</v>
      </c>
      <c r="AA133" s="3">
        <v>100121</v>
      </c>
      <c r="AB133" s="3" t="s">
        <v>103</v>
      </c>
      <c r="AC133" s="4">
        <f ca="1">TODAY()-Open[[#This Row],[Status Date]]</f>
        <v>16</v>
      </c>
      <c r="AD133" s="3" t="s">
        <v>91</v>
      </c>
      <c r="AE133" t="str">
        <f t="shared" si="2"/>
        <v>Olivia Jenkins</v>
      </c>
      <c r="AF133" t="s">
        <v>1058</v>
      </c>
    </row>
    <row r="134" spans="1:32" x14ac:dyDescent="0.3">
      <c r="A134" s="3" t="s">
        <v>81</v>
      </c>
      <c r="B134" s="3" t="s">
        <v>82</v>
      </c>
      <c r="C134" s="3" t="s">
        <v>83</v>
      </c>
      <c r="D134" s="5">
        <v>45807</v>
      </c>
      <c r="E134" s="5">
        <v>45819</v>
      </c>
      <c r="F134" s="3" t="s">
        <v>30</v>
      </c>
      <c r="G134" s="3" t="s">
        <v>84</v>
      </c>
      <c r="H134" s="4">
        <v>385</v>
      </c>
      <c r="I134" s="4">
        <v>4329991</v>
      </c>
      <c r="J134" s="3" t="s">
        <v>668</v>
      </c>
      <c r="K134" s="3" t="s">
        <v>669</v>
      </c>
      <c r="L134" s="3" t="s">
        <v>670</v>
      </c>
      <c r="M134" s="5">
        <v>45791</v>
      </c>
      <c r="N134" s="3" t="s">
        <v>663</v>
      </c>
      <c r="O134" s="3" t="s">
        <v>664</v>
      </c>
      <c r="P134" s="3" t="s">
        <v>34</v>
      </c>
      <c r="Q134" s="6">
        <v>12.5</v>
      </c>
      <c r="R134" s="6">
        <v>12.5</v>
      </c>
      <c r="S134" s="5">
        <v>46188</v>
      </c>
      <c r="T134" s="3" t="s">
        <v>66</v>
      </c>
      <c r="U134" s="3" t="s">
        <v>79</v>
      </c>
      <c r="V134" s="3" t="s">
        <v>49</v>
      </c>
      <c r="W134" s="3" t="s">
        <v>80</v>
      </c>
      <c r="X134" s="3" t="s">
        <v>35</v>
      </c>
      <c r="Y134" s="3">
        <v>100271</v>
      </c>
      <c r="Z134" s="3" t="s">
        <v>318</v>
      </c>
      <c r="AA134" s="3">
        <v>100271</v>
      </c>
      <c r="AB134" s="3" t="s">
        <v>318</v>
      </c>
      <c r="AC134" s="4">
        <f ca="1">TODAY()-Open[[#This Row],[Status Date]]</f>
        <v>16</v>
      </c>
      <c r="AD134" s="3" t="s">
        <v>91</v>
      </c>
      <c r="AE134" t="str">
        <f t="shared" si="2"/>
        <v>Brooke Palmer</v>
      </c>
      <c r="AF134" t="s">
        <v>1055</v>
      </c>
    </row>
    <row r="135" spans="1:32" x14ac:dyDescent="0.3">
      <c r="A135" s="3" t="s">
        <v>81</v>
      </c>
      <c r="B135" s="3" t="s">
        <v>82</v>
      </c>
      <c r="C135" s="3" t="s">
        <v>83</v>
      </c>
      <c r="D135" s="5">
        <v>45824</v>
      </c>
      <c r="E135" s="5">
        <v>45824</v>
      </c>
      <c r="F135" s="3" t="s">
        <v>30</v>
      </c>
      <c r="G135" s="3" t="s">
        <v>84</v>
      </c>
      <c r="H135" s="4">
        <v>368</v>
      </c>
      <c r="I135" s="4">
        <v>4333141</v>
      </c>
      <c r="J135" s="3" t="s">
        <v>674</v>
      </c>
      <c r="K135" s="3" t="s">
        <v>675</v>
      </c>
      <c r="L135" s="3" t="s">
        <v>676</v>
      </c>
      <c r="M135" s="5">
        <v>45807</v>
      </c>
      <c r="N135" s="3" t="s">
        <v>663</v>
      </c>
      <c r="O135" s="3" t="s">
        <v>664</v>
      </c>
      <c r="P135" s="3" t="s">
        <v>40</v>
      </c>
      <c r="Q135" s="6">
        <v>1874.5</v>
      </c>
      <c r="R135" s="6">
        <v>1874.5</v>
      </c>
      <c r="S135" s="5">
        <v>46188</v>
      </c>
      <c r="T135" s="3" t="s">
        <v>66</v>
      </c>
      <c r="U135" s="3" t="s">
        <v>79</v>
      </c>
      <c r="V135" s="3" t="s">
        <v>49</v>
      </c>
      <c r="W135" s="3" t="s">
        <v>80</v>
      </c>
      <c r="X135" s="3" t="s">
        <v>41</v>
      </c>
      <c r="Y135" s="3">
        <v>100281</v>
      </c>
      <c r="Z135" s="3" t="s">
        <v>322</v>
      </c>
      <c r="AA135" s="3">
        <v>100281</v>
      </c>
      <c r="AB135" s="3" t="s">
        <v>322</v>
      </c>
      <c r="AC135" s="4">
        <f ca="1">TODAY()-Open[[#This Row],[Status Date]]</f>
        <v>16</v>
      </c>
      <c r="AD135" s="3" t="s">
        <v>91</v>
      </c>
      <c r="AE135" t="str">
        <f t="shared" si="2"/>
        <v>Grace Whitaker</v>
      </c>
      <c r="AF135" t="s">
        <v>1060</v>
      </c>
    </row>
    <row r="136" spans="1:32" x14ac:dyDescent="0.3">
      <c r="A136" s="3" t="s">
        <v>81</v>
      </c>
      <c r="B136" s="3" t="s">
        <v>82</v>
      </c>
      <c r="C136" s="3" t="s">
        <v>83</v>
      </c>
      <c r="D136" s="5">
        <v>45838</v>
      </c>
      <c r="E136" s="5">
        <v>45946</v>
      </c>
      <c r="F136" s="3" t="s">
        <v>30</v>
      </c>
      <c r="G136" s="3" t="s">
        <v>84</v>
      </c>
      <c r="H136" s="4">
        <v>354</v>
      </c>
      <c r="I136" s="4">
        <v>4332291</v>
      </c>
      <c r="J136" s="3" t="s">
        <v>679</v>
      </c>
      <c r="K136" s="3" t="s">
        <v>680</v>
      </c>
      <c r="L136" s="3" t="s">
        <v>681</v>
      </c>
      <c r="M136" s="5">
        <v>45818</v>
      </c>
      <c r="N136" s="3" t="s">
        <v>663</v>
      </c>
      <c r="O136" s="3" t="s">
        <v>664</v>
      </c>
      <c r="P136" s="3" t="s">
        <v>34</v>
      </c>
      <c r="Q136" s="6">
        <v>7349.56</v>
      </c>
      <c r="R136" s="6">
        <v>7349.56</v>
      </c>
      <c r="S136" s="5">
        <v>46188</v>
      </c>
      <c r="T136" s="3" t="s">
        <v>66</v>
      </c>
      <c r="U136" s="3" t="s">
        <v>79</v>
      </c>
      <c r="V136" s="3" t="s">
        <v>49</v>
      </c>
      <c r="W136" s="3" t="s">
        <v>80</v>
      </c>
      <c r="X136" s="3" t="s">
        <v>35</v>
      </c>
      <c r="Y136" s="3">
        <v>100111</v>
      </c>
      <c r="Z136" s="3" t="s">
        <v>90</v>
      </c>
      <c r="AA136" s="3">
        <v>100111</v>
      </c>
      <c r="AB136" s="3" t="s">
        <v>90</v>
      </c>
      <c r="AC136" s="4">
        <f ca="1">TODAY()-Open[[#This Row],[Status Date]]</f>
        <v>16</v>
      </c>
      <c r="AD136" s="3" t="s">
        <v>91</v>
      </c>
      <c r="AE136" t="str">
        <f t="shared" si="2"/>
        <v>Andrew Ross</v>
      </c>
      <c r="AF136" t="s">
        <v>1055</v>
      </c>
    </row>
    <row r="137" spans="1:32" x14ac:dyDescent="0.3">
      <c r="A137" s="3" t="s">
        <v>81</v>
      </c>
      <c r="B137" s="3" t="s">
        <v>82</v>
      </c>
      <c r="C137" s="3" t="s">
        <v>83</v>
      </c>
      <c r="D137" s="5">
        <v>45870</v>
      </c>
      <c r="E137" s="5">
        <v>45870</v>
      </c>
      <c r="F137" s="3" t="s">
        <v>30</v>
      </c>
      <c r="G137" s="3" t="s">
        <v>84</v>
      </c>
      <c r="H137" s="4">
        <v>322</v>
      </c>
      <c r="I137" s="4">
        <v>4351621</v>
      </c>
      <c r="J137" s="3" t="s">
        <v>685</v>
      </c>
      <c r="K137" s="3" t="s">
        <v>686</v>
      </c>
      <c r="L137" s="3" t="s">
        <v>687</v>
      </c>
      <c r="M137" s="5">
        <v>45855</v>
      </c>
      <c r="N137" s="3" t="s">
        <v>663</v>
      </c>
      <c r="O137" s="3" t="s">
        <v>664</v>
      </c>
      <c r="P137" s="3" t="s">
        <v>40</v>
      </c>
      <c r="Q137" s="6">
        <v>23400</v>
      </c>
      <c r="R137" s="6">
        <v>23400</v>
      </c>
      <c r="S137" s="5">
        <v>46188</v>
      </c>
      <c r="T137" s="3" t="s">
        <v>66</v>
      </c>
      <c r="U137" s="3" t="s">
        <v>79</v>
      </c>
      <c r="V137" s="3" t="s">
        <v>49</v>
      </c>
      <c r="W137" s="3" t="s">
        <v>80</v>
      </c>
      <c r="X137" s="3" t="s">
        <v>41</v>
      </c>
      <c r="Y137" s="3">
        <v>100121</v>
      </c>
      <c r="Z137" s="3" t="s">
        <v>103</v>
      </c>
      <c r="AA137" s="3">
        <v>100121</v>
      </c>
      <c r="AB137" s="3" t="s">
        <v>103</v>
      </c>
      <c r="AC137" s="4">
        <f ca="1">TODAY()-Open[[#This Row],[Status Date]]</f>
        <v>16</v>
      </c>
      <c r="AD137" s="3" t="s">
        <v>91</v>
      </c>
      <c r="AE137" t="str">
        <f t="shared" si="2"/>
        <v>Olivia Jenkins</v>
      </c>
      <c r="AF137" t="s">
        <v>1060</v>
      </c>
    </row>
    <row r="138" spans="1:32" x14ac:dyDescent="0.3">
      <c r="A138" s="3" t="s">
        <v>81</v>
      </c>
      <c r="B138" s="3" t="s">
        <v>82</v>
      </c>
      <c r="C138" s="3" t="s">
        <v>83</v>
      </c>
      <c r="D138" s="5">
        <v>45871</v>
      </c>
      <c r="E138" s="5">
        <v>45871</v>
      </c>
      <c r="F138" s="3" t="s">
        <v>30</v>
      </c>
      <c r="G138" s="3" t="s">
        <v>84</v>
      </c>
      <c r="H138" s="4">
        <v>321</v>
      </c>
      <c r="I138" s="4">
        <v>4353001</v>
      </c>
      <c r="J138" s="3" t="s">
        <v>688</v>
      </c>
      <c r="K138" s="3" t="s">
        <v>689</v>
      </c>
      <c r="L138" s="3" t="s">
        <v>690</v>
      </c>
      <c r="M138" s="5">
        <v>45869</v>
      </c>
      <c r="N138" s="3" t="s">
        <v>88</v>
      </c>
      <c r="O138" s="3" t="s">
        <v>89</v>
      </c>
      <c r="P138" s="3" t="s">
        <v>44</v>
      </c>
      <c r="Q138" s="6">
        <v>306.92</v>
      </c>
      <c r="R138" s="6">
        <v>306.92</v>
      </c>
      <c r="S138" s="5">
        <v>46195</v>
      </c>
      <c r="T138" s="3" t="s">
        <v>72</v>
      </c>
      <c r="U138" s="3" t="s">
        <v>112</v>
      </c>
      <c r="V138" s="3" t="s">
        <v>55</v>
      </c>
      <c r="W138" s="3" t="s">
        <v>32</v>
      </c>
      <c r="X138" s="3" t="s">
        <v>45</v>
      </c>
      <c r="Y138" s="3">
        <v>100221</v>
      </c>
      <c r="Z138" s="3" t="s">
        <v>131</v>
      </c>
      <c r="AA138" s="3">
        <v>100161</v>
      </c>
      <c r="AB138" s="3" t="s">
        <v>132</v>
      </c>
      <c r="AC138" s="4">
        <f ca="1">TODAY()-Open[[#This Row],[Status Date]]</f>
        <v>9</v>
      </c>
      <c r="AD138" s="3" t="s">
        <v>91</v>
      </c>
      <c r="AE138" t="str">
        <f t="shared" si="2"/>
        <v>Connor Bishop</v>
      </c>
      <c r="AF138" t="s">
        <v>1053</v>
      </c>
    </row>
    <row r="139" spans="1:32" x14ac:dyDescent="0.3">
      <c r="A139" s="3" t="s">
        <v>81</v>
      </c>
      <c r="B139" s="3" t="s">
        <v>82</v>
      </c>
      <c r="C139" s="3" t="s">
        <v>83</v>
      </c>
      <c r="D139" s="5">
        <v>45884</v>
      </c>
      <c r="E139" s="5">
        <v>45945</v>
      </c>
      <c r="F139" s="3" t="s">
        <v>30</v>
      </c>
      <c r="G139" s="3" t="s">
        <v>84</v>
      </c>
      <c r="H139" s="4">
        <v>308</v>
      </c>
      <c r="I139" s="4">
        <v>4356661</v>
      </c>
      <c r="J139" s="3" t="s">
        <v>691</v>
      </c>
      <c r="K139" s="3" t="s">
        <v>692</v>
      </c>
      <c r="L139" s="3" t="s">
        <v>693</v>
      </c>
      <c r="M139" s="5">
        <v>45860</v>
      </c>
      <c r="N139" s="3" t="s">
        <v>88</v>
      </c>
      <c r="O139" s="3" t="s">
        <v>89</v>
      </c>
      <c r="P139" s="3" t="s">
        <v>44</v>
      </c>
      <c r="Q139" s="6">
        <v>7.1</v>
      </c>
      <c r="R139" s="6">
        <v>578.82000000000005</v>
      </c>
      <c r="S139" s="5">
        <v>46195</v>
      </c>
      <c r="T139" s="3" t="s">
        <v>72</v>
      </c>
      <c r="U139" s="3" t="s">
        <v>112</v>
      </c>
      <c r="V139" s="3" t="s">
        <v>55</v>
      </c>
      <c r="W139" s="3" t="s">
        <v>32</v>
      </c>
      <c r="X139" s="3" t="s">
        <v>45</v>
      </c>
      <c r="Y139" s="3">
        <v>100261</v>
      </c>
      <c r="Z139" s="3" t="s">
        <v>136</v>
      </c>
      <c r="AA139" s="3">
        <v>100191</v>
      </c>
      <c r="AB139" s="3" t="s">
        <v>137</v>
      </c>
      <c r="AC139" s="4">
        <f ca="1">TODAY()-Open[[#This Row],[Status Date]]</f>
        <v>9</v>
      </c>
      <c r="AD139" s="3" t="s">
        <v>91</v>
      </c>
      <c r="AE139" t="str">
        <f t="shared" si="2"/>
        <v>Dominic Flores</v>
      </c>
      <c r="AF139" t="s">
        <v>1053</v>
      </c>
    </row>
    <row r="140" spans="1:32" x14ac:dyDescent="0.3">
      <c r="A140" s="3" t="s">
        <v>81</v>
      </c>
      <c r="B140" s="3" t="s">
        <v>82</v>
      </c>
      <c r="C140" s="3" t="s">
        <v>83</v>
      </c>
      <c r="D140" s="5">
        <v>45885</v>
      </c>
      <c r="E140" s="5">
        <v>45885</v>
      </c>
      <c r="F140" s="3" t="s">
        <v>30</v>
      </c>
      <c r="G140" s="3" t="s">
        <v>84</v>
      </c>
      <c r="H140" s="4">
        <v>307</v>
      </c>
      <c r="I140" s="4">
        <v>4356401</v>
      </c>
      <c r="J140" s="3" t="s">
        <v>694</v>
      </c>
      <c r="K140" s="3" t="s">
        <v>695</v>
      </c>
      <c r="L140" s="3" t="s">
        <v>696</v>
      </c>
      <c r="M140" s="5">
        <v>45870</v>
      </c>
      <c r="N140" s="3" t="s">
        <v>88</v>
      </c>
      <c r="O140" s="3" t="s">
        <v>89</v>
      </c>
      <c r="P140" s="3" t="s">
        <v>44</v>
      </c>
      <c r="Q140" s="6">
        <v>146.15</v>
      </c>
      <c r="R140" s="6">
        <v>146.15</v>
      </c>
      <c r="S140" s="5">
        <v>46195</v>
      </c>
      <c r="T140" s="3" t="s">
        <v>72</v>
      </c>
      <c r="U140" s="3" t="s">
        <v>112</v>
      </c>
      <c r="V140" s="3" t="s">
        <v>55</v>
      </c>
      <c r="W140" s="3" t="s">
        <v>32</v>
      </c>
      <c r="X140" s="3" t="s">
        <v>45</v>
      </c>
      <c r="Y140" s="3">
        <v>100101</v>
      </c>
      <c r="Z140" s="3" t="s">
        <v>113</v>
      </c>
      <c r="AA140" s="3">
        <v>100111</v>
      </c>
      <c r="AB140" s="3" t="s">
        <v>90</v>
      </c>
      <c r="AC140" s="4">
        <f ca="1">TODAY()-Open[[#This Row],[Status Date]]</f>
        <v>9</v>
      </c>
      <c r="AD140" s="3" t="s">
        <v>91</v>
      </c>
      <c r="AE140" t="str">
        <f t="shared" si="2"/>
        <v>Andrew Ross</v>
      </c>
      <c r="AF140" t="s">
        <v>1053</v>
      </c>
    </row>
    <row r="141" spans="1:32" x14ac:dyDescent="0.3">
      <c r="A141" s="3" t="s">
        <v>81</v>
      </c>
      <c r="B141" s="3" t="s">
        <v>82</v>
      </c>
      <c r="C141" s="3" t="s">
        <v>83</v>
      </c>
      <c r="D141" s="5">
        <v>45890</v>
      </c>
      <c r="E141" s="5">
        <v>46162</v>
      </c>
      <c r="F141" s="3" t="s">
        <v>30</v>
      </c>
      <c r="G141" s="3" t="s">
        <v>84</v>
      </c>
      <c r="H141" s="4">
        <v>302</v>
      </c>
      <c r="I141" s="4">
        <v>4356561</v>
      </c>
      <c r="J141" s="3" t="s">
        <v>697</v>
      </c>
      <c r="K141" s="3" t="s">
        <v>698</v>
      </c>
      <c r="L141" s="3" t="s">
        <v>699</v>
      </c>
      <c r="M141" s="5">
        <v>45700</v>
      </c>
      <c r="N141" s="3" t="s">
        <v>403</v>
      </c>
      <c r="O141" s="3" t="s">
        <v>404</v>
      </c>
      <c r="P141" s="3" t="s">
        <v>40</v>
      </c>
      <c r="Q141" s="6">
        <v>6481.3</v>
      </c>
      <c r="R141" s="6">
        <v>6481.3</v>
      </c>
      <c r="S141" s="5">
        <v>46188</v>
      </c>
      <c r="T141" s="3" t="s">
        <v>66</v>
      </c>
      <c r="U141" s="3" t="s">
        <v>79</v>
      </c>
      <c r="V141" s="3" t="s">
        <v>49</v>
      </c>
      <c r="W141" s="3" t="s">
        <v>80</v>
      </c>
      <c r="X141" s="3" t="s">
        <v>41</v>
      </c>
      <c r="Y141" s="3">
        <v>100151</v>
      </c>
      <c r="Z141" s="3" t="s">
        <v>108</v>
      </c>
      <c r="AA141" s="3">
        <v>100151</v>
      </c>
      <c r="AB141" s="3" t="s">
        <v>108</v>
      </c>
      <c r="AC141" s="4">
        <f ca="1">TODAY()-Open[[#This Row],[Status Date]]</f>
        <v>16</v>
      </c>
      <c r="AD141" s="3" t="s">
        <v>91</v>
      </c>
      <c r="AE141" t="str">
        <f t="shared" si="2"/>
        <v>Mason Reynolds</v>
      </c>
      <c r="AF141" t="s">
        <v>1060</v>
      </c>
    </row>
    <row r="142" spans="1:32" x14ac:dyDescent="0.3">
      <c r="A142" s="3" t="s">
        <v>81</v>
      </c>
      <c r="B142" s="3" t="s">
        <v>82</v>
      </c>
      <c r="C142" s="3" t="s">
        <v>83</v>
      </c>
      <c r="D142" s="5">
        <v>45911</v>
      </c>
      <c r="E142" s="5">
        <v>46182</v>
      </c>
      <c r="F142" s="3" t="s">
        <v>30</v>
      </c>
      <c r="G142" s="3" t="s">
        <v>84</v>
      </c>
      <c r="H142" s="4">
        <v>281</v>
      </c>
      <c r="I142" s="4">
        <v>4367001</v>
      </c>
      <c r="J142" s="3" t="s">
        <v>750</v>
      </c>
      <c r="K142" s="3" t="s">
        <v>751</v>
      </c>
      <c r="L142" s="3" t="s">
        <v>752</v>
      </c>
      <c r="M142" s="5">
        <v>45835</v>
      </c>
      <c r="N142" s="3" t="s">
        <v>753</v>
      </c>
      <c r="O142" s="3" t="s">
        <v>754</v>
      </c>
      <c r="P142" s="3" t="s">
        <v>34</v>
      </c>
      <c r="Q142" s="6">
        <v>540</v>
      </c>
      <c r="R142" s="6">
        <v>540</v>
      </c>
      <c r="S142" s="5">
        <v>46176</v>
      </c>
      <c r="T142" s="3" t="s">
        <v>66</v>
      </c>
      <c r="U142" s="3" t="s">
        <v>79</v>
      </c>
      <c r="V142" s="3" t="s">
        <v>55</v>
      </c>
      <c r="W142" s="3" t="s">
        <v>32</v>
      </c>
      <c r="X142" s="3" t="s">
        <v>35</v>
      </c>
      <c r="Y142" s="3">
        <v>100161</v>
      </c>
      <c r="Z142" s="3" t="s">
        <v>132</v>
      </c>
      <c r="AA142" s="3">
        <v>100161</v>
      </c>
      <c r="AB142" s="3" t="s">
        <v>132</v>
      </c>
      <c r="AC142" s="4">
        <f ca="1">TODAY()-Open[[#This Row],[Status Date]]</f>
        <v>28</v>
      </c>
      <c r="AD142" s="3" t="s">
        <v>91</v>
      </c>
      <c r="AE142" t="str">
        <f t="shared" si="2"/>
        <v>Connor Bishop</v>
      </c>
      <c r="AF142" t="s">
        <v>1055</v>
      </c>
    </row>
    <row r="143" spans="1:32" x14ac:dyDescent="0.3">
      <c r="A143" s="3" t="s">
        <v>81</v>
      </c>
      <c r="B143" s="3" t="s">
        <v>82</v>
      </c>
      <c r="C143" s="3" t="s">
        <v>83</v>
      </c>
      <c r="D143" s="5">
        <v>45919</v>
      </c>
      <c r="E143" s="5">
        <v>45919</v>
      </c>
      <c r="F143" s="3" t="s">
        <v>30</v>
      </c>
      <c r="G143" s="3" t="s">
        <v>84</v>
      </c>
      <c r="H143" s="4">
        <v>273</v>
      </c>
      <c r="I143" s="4">
        <v>4372891</v>
      </c>
      <c r="J143" s="3" t="s">
        <v>758</v>
      </c>
      <c r="K143" s="3" t="s">
        <v>759</v>
      </c>
      <c r="L143" s="3" t="s">
        <v>760</v>
      </c>
      <c r="M143" s="5">
        <v>45895</v>
      </c>
      <c r="N143" s="3" t="s">
        <v>663</v>
      </c>
      <c r="O143" s="3" t="s">
        <v>664</v>
      </c>
      <c r="P143" s="3" t="s">
        <v>40</v>
      </c>
      <c r="Q143" s="6">
        <v>11765.88</v>
      </c>
      <c r="R143" s="6">
        <v>11765.88</v>
      </c>
      <c r="S143" s="5">
        <v>46188</v>
      </c>
      <c r="T143" s="3" t="s">
        <v>66</v>
      </c>
      <c r="U143" s="3" t="s">
        <v>79</v>
      </c>
      <c r="V143" s="3" t="s">
        <v>49</v>
      </c>
      <c r="W143" s="3" t="s">
        <v>80</v>
      </c>
      <c r="X143" s="3" t="s">
        <v>41</v>
      </c>
      <c r="Y143" s="3">
        <v>100191</v>
      </c>
      <c r="Z143" s="3" t="s">
        <v>137</v>
      </c>
      <c r="AA143" s="3">
        <v>100191</v>
      </c>
      <c r="AB143" s="3" t="s">
        <v>137</v>
      </c>
      <c r="AC143" s="4">
        <f ca="1">TODAY()-Open[[#This Row],[Status Date]]</f>
        <v>16</v>
      </c>
      <c r="AD143" s="3" t="s">
        <v>91</v>
      </c>
      <c r="AE143" t="str">
        <f t="shared" si="2"/>
        <v>Dominic Flores</v>
      </c>
      <c r="AF143" t="s">
        <v>1060</v>
      </c>
    </row>
    <row r="144" spans="1:32" x14ac:dyDescent="0.3">
      <c r="A144" s="3" t="s">
        <v>81</v>
      </c>
      <c r="B144" s="3" t="s">
        <v>82</v>
      </c>
      <c r="C144" s="3" t="s">
        <v>83</v>
      </c>
      <c r="D144" s="5">
        <v>45932</v>
      </c>
      <c r="E144" s="5">
        <v>46162</v>
      </c>
      <c r="F144" s="3" t="s">
        <v>30</v>
      </c>
      <c r="G144" s="3" t="s">
        <v>84</v>
      </c>
      <c r="H144" s="4">
        <v>260</v>
      </c>
      <c r="I144" s="4">
        <v>4377371</v>
      </c>
      <c r="J144" s="3" t="s">
        <v>796</v>
      </c>
      <c r="K144" s="3" t="s">
        <v>797</v>
      </c>
      <c r="L144" s="3" t="s">
        <v>798</v>
      </c>
      <c r="M144" s="5">
        <v>45931</v>
      </c>
      <c r="N144" s="3" t="s">
        <v>403</v>
      </c>
      <c r="O144" s="3" t="s">
        <v>404</v>
      </c>
      <c r="P144" s="3" t="s">
        <v>34</v>
      </c>
      <c r="Q144" s="6">
        <v>2295.64</v>
      </c>
      <c r="R144" s="6">
        <v>2295.64</v>
      </c>
      <c r="S144" s="5">
        <v>46188</v>
      </c>
      <c r="T144" s="3" t="s">
        <v>66</v>
      </c>
      <c r="U144" s="3" t="s">
        <v>79</v>
      </c>
      <c r="V144" s="3" t="s">
        <v>49</v>
      </c>
      <c r="W144" s="3" t="s">
        <v>80</v>
      </c>
      <c r="X144" s="3" t="s">
        <v>35</v>
      </c>
      <c r="Y144" s="3">
        <v>100201</v>
      </c>
      <c r="Z144" s="3" t="s">
        <v>306</v>
      </c>
      <c r="AA144" s="3">
        <v>100201</v>
      </c>
      <c r="AB144" s="3" t="s">
        <v>306</v>
      </c>
      <c r="AC144" s="4">
        <f ca="1">TODAY()-Open[[#This Row],[Status Date]]</f>
        <v>16</v>
      </c>
      <c r="AD144" s="3" t="s">
        <v>91</v>
      </c>
      <c r="AE144" t="str">
        <f t="shared" si="2"/>
        <v>Aiden Harper</v>
      </c>
      <c r="AF144" t="s">
        <v>1055</v>
      </c>
    </row>
    <row r="145" spans="1:32" x14ac:dyDescent="0.3">
      <c r="A145" s="3" t="s">
        <v>81</v>
      </c>
      <c r="B145" s="3" t="s">
        <v>82</v>
      </c>
      <c r="C145" s="3" t="s">
        <v>83</v>
      </c>
      <c r="D145" s="5">
        <v>45945</v>
      </c>
      <c r="E145" s="5">
        <v>46160</v>
      </c>
      <c r="F145" s="3" t="s">
        <v>30</v>
      </c>
      <c r="G145" s="3" t="s">
        <v>84</v>
      </c>
      <c r="H145" s="4">
        <v>247</v>
      </c>
      <c r="I145" s="4">
        <v>4386228</v>
      </c>
      <c r="J145" s="3" t="s">
        <v>825</v>
      </c>
      <c r="K145" s="3" t="s">
        <v>826</v>
      </c>
      <c r="L145" s="3" t="s">
        <v>827</v>
      </c>
      <c r="M145" s="5">
        <v>45768</v>
      </c>
      <c r="N145" s="3" t="s">
        <v>828</v>
      </c>
      <c r="O145" s="3" t="s">
        <v>829</v>
      </c>
      <c r="P145" s="3" t="s">
        <v>34</v>
      </c>
      <c r="Q145" s="6">
        <v>100</v>
      </c>
      <c r="R145" s="6">
        <v>100</v>
      </c>
      <c r="S145" s="5">
        <v>46195</v>
      </c>
      <c r="T145" s="3" t="s">
        <v>66</v>
      </c>
      <c r="U145" s="3" t="s">
        <v>79</v>
      </c>
      <c r="V145" s="3" t="s">
        <v>55</v>
      </c>
      <c r="W145" s="3" t="s">
        <v>32</v>
      </c>
      <c r="X145" s="3" t="s">
        <v>35</v>
      </c>
      <c r="Y145" s="3">
        <v>100231</v>
      </c>
      <c r="Z145" s="3" t="s">
        <v>310</v>
      </c>
      <c r="AA145" s="3">
        <v>100231</v>
      </c>
      <c r="AB145" s="3" t="s">
        <v>310</v>
      </c>
      <c r="AC145" s="4">
        <f ca="1">TODAY()-Open[[#This Row],[Status Date]]</f>
        <v>9</v>
      </c>
      <c r="AD145" s="3" t="s">
        <v>91</v>
      </c>
      <c r="AE145" t="str">
        <f t="shared" si="2"/>
        <v>Jackson Norris</v>
      </c>
      <c r="AF145" t="s">
        <v>1055</v>
      </c>
    </row>
    <row r="146" spans="1:32" x14ac:dyDescent="0.3">
      <c r="A146" s="3" t="s">
        <v>81</v>
      </c>
      <c r="B146" s="3" t="s">
        <v>82</v>
      </c>
      <c r="C146" s="3" t="s">
        <v>83</v>
      </c>
      <c r="D146" s="5">
        <v>45961</v>
      </c>
      <c r="E146" s="5">
        <v>46181</v>
      </c>
      <c r="F146" s="3" t="s">
        <v>30</v>
      </c>
      <c r="G146" s="3" t="s">
        <v>84</v>
      </c>
      <c r="H146" s="4">
        <v>231</v>
      </c>
      <c r="I146" s="4">
        <v>4392867</v>
      </c>
      <c r="J146" s="3" t="s">
        <v>830</v>
      </c>
      <c r="K146" s="3" t="s">
        <v>831</v>
      </c>
      <c r="L146" s="3" t="s">
        <v>832</v>
      </c>
      <c r="M146" s="5">
        <v>45945</v>
      </c>
      <c r="N146" s="3" t="s">
        <v>663</v>
      </c>
      <c r="O146" s="3" t="s">
        <v>664</v>
      </c>
      <c r="P146" s="3" t="s">
        <v>46</v>
      </c>
      <c r="Q146" s="6">
        <v>23800</v>
      </c>
      <c r="R146" s="6">
        <v>240380</v>
      </c>
      <c r="S146" s="5">
        <v>46188</v>
      </c>
      <c r="T146" s="3" t="s">
        <v>66</v>
      </c>
      <c r="U146" s="3" t="s">
        <v>79</v>
      </c>
      <c r="V146" s="3" t="s">
        <v>49</v>
      </c>
      <c r="W146" s="3" t="s">
        <v>80</v>
      </c>
      <c r="X146" s="3" t="s">
        <v>47</v>
      </c>
      <c r="Y146" s="3">
        <v>100241</v>
      </c>
      <c r="Z146" s="3" t="s">
        <v>314</v>
      </c>
      <c r="AA146" s="3">
        <v>100241</v>
      </c>
      <c r="AB146" s="3" t="s">
        <v>314</v>
      </c>
      <c r="AC146" s="4">
        <f ca="1">TODAY()-Open[[#This Row],[Status Date]]</f>
        <v>16</v>
      </c>
      <c r="AD146" s="3" t="s">
        <v>91</v>
      </c>
      <c r="AE146" t="str">
        <f t="shared" si="2"/>
        <v>Leah Pearson</v>
      </c>
      <c r="AF146" t="s">
        <v>1059</v>
      </c>
    </row>
    <row r="147" spans="1:32" x14ac:dyDescent="0.3">
      <c r="A147" s="3" t="s">
        <v>81</v>
      </c>
      <c r="B147" s="3" t="s">
        <v>82</v>
      </c>
      <c r="C147" s="3" t="s">
        <v>83</v>
      </c>
      <c r="D147" s="5">
        <v>45966</v>
      </c>
      <c r="E147" s="5">
        <v>46015</v>
      </c>
      <c r="F147" s="3" t="s">
        <v>30</v>
      </c>
      <c r="G147" s="3" t="s">
        <v>84</v>
      </c>
      <c r="H147" s="4">
        <v>226</v>
      </c>
      <c r="I147" s="4">
        <v>4395956</v>
      </c>
      <c r="J147" s="3" t="s">
        <v>833</v>
      </c>
      <c r="K147" s="3" t="s">
        <v>834</v>
      </c>
      <c r="L147" s="3" t="s">
        <v>835</v>
      </c>
      <c r="M147" s="5">
        <v>45917</v>
      </c>
      <c r="N147" s="3" t="s">
        <v>836</v>
      </c>
      <c r="O147" s="3" t="s">
        <v>837</v>
      </c>
      <c r="P147" s="3" t="s">
        <v>44</v>
      </c>
      <c r="Q147" s="6">
        <v>194.8</v>
      </c>
      <c r="R147" s="6">
        <v>370.42</v>
      </c>
      <c r="S147" s="5">
        <v>46091</v>
      </c>
      <c r="T147" s="3" t="s">
        <v>72</v>
      </c>
      <c r="U147" s="3" t="s">
        <v>112</v>
      </c>
      <c r="V147" s="3" t="s">
        <v>55</v>
      </c>
      <c r="W147" s="3" t="s">
        <v>32</v>
      </c>
      <c r="X147" s="3" t="s">
        <v>45</v>
      </c>
      <c r="Y147" s="3">
        <v>100141</v>
      </c>
      <c r="Z147" s="3" t="s">
        <v>123</v>
      </c>
      <c r="AA147" s="3">
        <v>100121</v>
      </c>
      <c r="AB147" s="3" t="s">
        <v>103</v>
      </c>
      <c r="AC147" s="4">
        <f ca="1">TODAY()-Open[[#This Row],[Status Date]]</f>
        <v>113</v>
      </c>
      <c r="AD147" s="3" t="s">
        <v>91</v>
      </c>
      <c r="AE147" t="str">
        <f t="shared" si="2"/>
        <v>Olivia Jenkins</v>
      </c>
      <c r="AF147" t="s">
        <v>1053</v>
      </c>
    </row>
    <row r="148" spans="1:32" x14ac:dyDescent="0.3">
      <c r="A148" s="3" t="s">
        <v>81</v>
      </c>
      <c r="B148" s="3" t="s">
        <v>82</v>
      </c>
      <c r="C148" s="3" t="s">
        <v>83</v>
      </c>
      <c r="D148" s="5">
        <v>45966</v>
      </c>
      <c r="E148" s="5">
        <v>46015</v>
      </c>
      <c r="F148" s="3" t="s">
        <v>30</v>
      </c>
      <c r="G148" s="3" t="s">
        <v>84</v>
      </c>
      <c r="H148" s="4">
        <v>226</v>
      </c>
      <c r="I148" s="4">
        <v>4395716</v>
      </c>
      <c r="J148" s="3" t="s">
        <v>838</v>
      </c>
      <c r="K148" s="3" t="s">
        <v>839</v>
      </c>
      <c r="L148" s="3" t="s">
        <v>840</v>
      </c>
      <c r="M148" s="5">
        <v>45861</v>
      </c>
      <c r="N148" s="3" t="s">
        <v>836</v>
      </c>
      <c r="O148" s="3" t="s">
        <v>837</v>
      </c>
      <c r="P148" s="3" t="s">
        <v>44</v>
      </c>
      <c r="Q148" s="6">
        <v>389.6</v>
      </c>
      <c r="R148" s="6">
        <v>1492.42</v>
      </c>
      <c r="S148" s="5">
        <v>46091</v>
      </c>
      <c r="T148" s="3" t="s">
        <v>72</v>
      </c>
      <c r="U148" s="3" t="s">
        <v>112</v>
      </c>
      <c r="V148" s="3" t="s">
        <v>55</v>
      </c>
      <c r="W148" s="3" t="s">
        <v>32</v>
      </c>
      <c r="X148" s="3" t="s">
        <v>45</v>
      </c>
      <c r="Y148" s="3">
        <v>100181</v>
      </c>
      <c r="Z148" s="3" t="s">
        <v>127</v>
      </c>
      <c r="AA148" s="3">
        <v>100151</v>
      </c>
      <c r="AB148" s="3" t="s">
        <v>108</v>
      </c>
      <c r="AC148" s="4">
        <f ca="1">TODAY()-Open[[#This Row],[Status Date]]</f>
        <v>113</v>
      </c>
      <c r="AD148" s="3" t="s">
        <v>91</v>
      </c>
      <c r="AE148" t="str">
        <f t="shared" si="2"/>
        <v>Mason Reynolds</v>
      </c>
      <c r="AF148" t="s">
        <v>1053</v>
      </c>
    </row>
    <row r="149" spans="1:32" x14ac:dyDescent="0.3">
      <c r="A149" s="3" t="s">
        <v>81</v>
      </c>
      <c r="B149" s="3" t="s">
        <v>82</v>
      </c>
      <c r="C149" s="3" t="s">
        <v>83</v>
      </c>
      <c r="D149" s="5">
        <v>45966</v>
      </c>
      <c r="E149" s="5">
        <v>46015</v>
      </c>
      <c r="F149" s="3" t="s">
        <v>30</v>
      </c>
      <c r="G149" s="3" t="s">
        <v>84</v>
      </c>
      <c r="H149" s="4">
        <v>226</v>
      </c>
      <c r="I149" s="4">
        <v>4395796</v>
      </c>
      <c r="J149" s="3" t="s">
        <v>841</v>
      </c>
      <c r="K149" s="3" t="s">
        <v>842</v>
      </c>
      <c r="L149" s="3" t="s">
        <v>843</v>
      </c>
      <c r="M149" s="5">
        <v>45876</v>
      </c>
      <c r="N149" s="3" t="s">
        <v>836</v>
      </c>
      <c r="O149" s="3" t="s">
        <v>837</v>
      </c>
      <c r="P149" s="3" t="s">
        <v>44</v>
      </c>
      <c r="Q149" s="6">
        <v>364</v>
      </c>
      <c r="R149" s="6">
        <v>776.73</v>
      </c>
      <c r="S149" s="5">
        <v>46091</v>
      </c>
      <c r="T149" s="3" t="s">
        <v>72</v>
      </c>
      <c r="U149" s="3" t="s">
        <v>112</v>
      </c>
      <c r="V149" s="3" t="s">
        <v>55</v>
      </c>
      <c r="W149" s="3" t="s">
        <v>32</v>
      </c>
      <c r="X149" s="3" t="s">
        <v>45</v>
      </c>
      <c r="Y149" s="3">
        <v>100221</v>
      </c>
      <c r="Z149" s="3" t="s">
        <v>131</v>
      </c>
      <c r="AA149" s="3">
        <v>100161</v>
      </c>
      <c r="AB149" s="3" t="s">
        <v>132</v>
      </c>
      <c r="AC149" s="4">
        <f ca="1">TODAY()-Open[[#This Row],[Status Date]]</f>
        <v>113</v>
      </c>
      <c r="AD149" s="3" t="s">
        <v>91</v>
      </c>
      <c r="AE149" t="str">
        <f t="shared" si="2"/>
        <v>Connor Bishop</v>
      </c>
      <c r="AF149" t="s">
        <v>1053</v>
      </c>
    </row>
    <row r="150" spans="1:32" x14ac:dyDescent="0.3">
      <c r="A150" s="3" t="s">
        <v>81</v>
      </c>
      <c r="B150" s="3" t="s">
        <v>82</v>
      </c>
      <c r="C150" s="3" t="s">
        <v>83</v>
      </c>
      <c r="D150" s="5">
        <v>45974</v>
      </c>
      <c r="E150" s="5">
        <v>45974</v>
      </c>
      <c r="F150" s="3" t="s">
        <v>30</v>
      </c>
      <c r="G150" s="3" t="s">
        <v>84</v>
      </c>
      <c r="H150" s="4">
        <v>218</v>
      </c>
      <c r="I150" s="4">
        <v>4398986</v>
      </c>
      <c r="J150" s="3" t="s">
        <v>844</v>
      </c>
      <c r="K150" s="3" t="s">
        <v>845</v>
      </c>
      <c r="L150" s="3" t="s">
        <v>846</v>
      </c>
      <c r="M150" s="5">
        <v>45916</v>
      </c>
      <c r="N150" s="3" t="s">
        <v>663</v>
      </c>
      <c r="O150" s="3" t="s">
        <v>664</v>
      </c>
      <c r="P150" s="3" t="s">
        <v>34</v>
      </c>
      <c r="Q150" s="6">
        <v>25000</v>
      </c>
      <c r="R150" s="6">
        <v>25000</v>
      </c>
      <c r="S150" s="5">
        <v>46188</v>
      </c>
      <c r="T150" s="3" t="s">
        <v>66</v>
      </c>
      <c r="U150" s="3" t="s">
        <v>79</v>
      </c>
      <c r="V150" s="3" t="s">
        <v>49</v>
      </c>
      <c r="W150" s="3" t="s">
        <v>80</v>
      </c>
      <c r="X150" s="3" t="s">
        <v>35</v>
      </c>
      <c r="Y150" s="3">
        <v>100271</v>
      </c>
      <c r="Z150" s="3" t="s">
        <v>318</v>
      </c>
      <c r="AA150" s="3">
        <v>100271</v>
      </c>
      <c r="AB150" s="3" t="s">
        <v>318</v>
      </c>
      <c r="AC150" s="4">
        <f ca="1">TODAY()-Open[[#This Row],[Status Date]]</f>
        <v>16</v>
      </c>
      <c r="AD150" s="3" t="s">
        <v>91</v>
      </c>
      <c r="AE150" t="str">
        <f t="shared" si="2"/>
        <v>Brooke Palmer</v>
      </c>
      <c r="AF150" t="s">
        <v>1055</v>
      </c>
    </row>
    <row r="151" spans="1:32" x14ac:dyDescent="0.3">
      <c r="A151" s="3" t="s">
        <v>81</v>
      </c>
      <c r="B151" s="3" t="s">
        <v>82</v>
      </c>
      <c r="C151" s="3" t="s">
        <v>83</v>
      </c>
      <c r="D151" s="5">
        <v>45996</v>
      </c>
      <c r="E151" s="5">
        <v>46015</v>
      </c>
      <c r="F151" s="3" t="s">
        <v>30</v>
      </c>
      <c r="G151" s="3" t="s">
        <v>84</v>
      </c>
      <c r="H151" s="4">
        <v>196</v>
      </c>
      <c r="I151" s="4">
        <v>4399905</v>
      </c>
      <c r="J151" s="3" t="s">
        <v>847</v>
      </c>
      <c r="K151" s="3" t="s">
        <v>848</v>
      </c>
      <c r="L151" s="3" t="s">
        <v>849</v>
      </c>
      <c r="M151" s="5">
        <v>45875</v>
      </c>
      <c r="N151" s="3" t="s">
        <v>836</v>
      </c>
      <c r="O151" s="3" t="s">
        <v>837</v>
      </c>
      <c r="P151" s="3" t="s">
        <v>44</v>
      </c>
      <c r="Q151" s="6">
        <v>364</v>
      </c>
      <c r="R151" s="6">
        <v>793.22</v>
      </c>
      <c r="S151" s="5">
        <v>46091</v>
      </c>
      <c r="T151" s="3" t="s">
        <v>72</v>
      </c>
      <c r="U151" s="3" t="s">
        <v>112</v>
      </c>
      <c r="V151" s="3" t="s">
        <v>55</v>
      </c>
      <c r="W151" s="3" t="s">
        <v>32</v>
      </c>
      <c r="X151" s="3" t="s">
        <v>45</v>
      </c>
      <c r="Y151" s="3">
        <v>100261</v>
      </c>
      <c r="Z151" s="3" t="s">
        <v>136</v>
      </c>
      <c r="AA151" s="3">
        <v>100191</v>
      </c>
      <c r="AB151" s="3" t="s">
        <v>137</v>
      </c>
      <c r="AC151" s="4">
        <f ca="1">TODAY()-Open[[#This Row],[Status Date]]</f>
        <v>113</v>
      </c>
      <c r="AD151" s="3" t="s">
        <v>91</v>
      </c>
      <c r="AE151" t="str">
        <f t="shared" si="2"/>
        <v>Dominic Flores</v>
      </c>
      <c r="AF151" t="s">
        <v>1053</v>
      </c>
    </row>
    <row r="152" spans="1:32" x14ac:dyDescent="0.3">
      <c r="A152" s="3" t="s">
        <v>81</v>
      </c>
      <c r="B152" s="3" t="s">
        <v>82</v>
      </c>
      <c r="C152" s="3" t="s">
        <v>83</v>
      </c>
      <c r="D152" s="5">
        <v>45996</v>
      </c>
      <c r="E152" s="5">
        <v>46015</v>
      </c>
      <c r="F152" s="3" t="s">
        <v>30</v>
      </c>
      <c r="G152" s="3" t="s">
        <v>84</v>
      </c>
      <c r="H152" s="4">
        <v>196</v>
      </c>
      <c r="I152" s="4">
        <v>4404605</v>
      </c>
      <c r="J152" s="3" t="s">
        <v>850</v>
      </c>
      <c r="K152" s="3" t="s">
        <v>851</v>
      </c>
      <c r="L152" s="3" t="s">
        <v>852</v>
      </c>
      <c r="M152" s="5">
        <v>45917</v>
      </c>
      <c r="N152" s="3" t="s">
        <v>836</v>
      </c>
      <c r="O152" s="3" t="s">
        <v>837</v>
      </c>
      <c r="P152" s="3" t="s">
        <v>44</v>
      </c>
      <c r="Q152" s="6">
        <v>364</v>
      </c>
      <c r="R152" s="6">
        <v>689.12</v>
      </c>
      <c r="S152" s="5">
        <v>46091</v>
      </c>
      <c r="T152" s="3" t="s">
        <v>72</v>
      </c>
      <c r="U152" s="3" t="s">
        <v>112</v>
      </c>
      <c r="V152" s="3" t="s">
        <v>55</v>
      </c>
      <c r="W152" s="3" t="s">
        <v>32</v>
      </c>
      <c r="X152" s="3" t="s">
        <v>45</v>
      </c>
      <c r="Y152" s="3">
        <v>100101</v>
      </c>
      <c r="Z152" s="3" t="s">
        <v>113</v>
      </c>
      <c r="AA152" s="3">
        <v>100111</v>
      </c>
      <c r="AB152" s="3" t="s">
        <v>90</v>
      </c>
      <c r="AC152" s="4">
        <f ca="1">TODAY()-Open[[#This Row],[Status Date]]</f>
        <v>113</v>
      </c>
      <c r="AD152" s="3" t="s">
        <v>91</v>
      </c>
      <c r="AE152" t="str">
        <f t="shared" si="2"/>
        <v>Andrew Ross</v>
      </c>
      <c r="AF152" t="s">
        <v>1053</v>
      </c>
    </row>
    <row r="153" spans="1:32" x14ac:dyDescent="0.3">
      <c r="A153" s="3" t="s">
        <v>81</v>
      </c>
      <c r="B153" s="3" t="s">
        <v>82</v>
      </c>
      <c r="C153" s="3" t="s">
        <v>83</v>
      </c>
      <c r="D153" s="5">
        <v>45996</v>
      </c>
      <c r="E153" s="5">
        <v>46015</v>
      </c>
      <c r="F153" s="3" t="s">
        <v>30</v>
      </c>
      <c r="G153" s="3" t="s">
        <v>84</v>
      </c>
      <c r="H153" s="4">
        <v>196</v>
      </c>
      <c r="I153" s="4">
        <v>4404585</v>
      </c>
      <c r="J153" s="3" t="s">
        <v>853</v>
      </c>
      <c r="K153" s="3" t="s">
        <v>854</v>
      </c>
      <c r="L153" s="3" t="s">
        <v>855</v>
      </c>
      <c r="M153" s="5">
        <v>45883</v>
      </c>
      <c r="N153" s="3" t="s">
        <v>836</v>
      </c>
      <c r="O153" s="3" t="s">
        <v>837</v>
      </c>
      <c r="P153" s="3" t="s">
        <v>44</v>
      </c>
      <c r="Q153" s="6">
        <v>728</v>
      </c>
      <c r="R153" s="6">
        <v>1697.38</v>
      </c>
      <c r="S153" s="5">
        <v>46091</v>
      </c>
      <c r="T153" s="3" t="s">
        <v>72</v>
      </c>
      <c r="U153" s="3" t="s">
        <v>112</v>
      </c>
      <c r="V153" s="3" t="s">
        <v>55</v>
      </c>
      <c r="W153" s="3" t="s">
        <v>32</v>
      </c>
      <c r="X153" s="3" t="s">
        <v>45</v>
      </c>
      <c r="Y153" s="3">
        <v>100141</v>
      </c>
      <c r="Z153" s="3" t="s">
        <v>123</v>
      </c>
      <c r="AA153" s="3">
        <v>100121</v>
      </c>
      <c r="AB153" s="3" t="s">
        <v>103</v>
      </c>
      <c r="AC153" s="4">
        <f ca="1">TODAY()-Open[[#This Row],[Status Date]]</f>
        <v>113</v>
      </c>
      <c r="AD153" s="3" t="s">
        <v>91</v>
      </c>
      <c r="AE153" t="str">
        <f t="shared" si="2"/>
        <v>Olivia Jenkins</v>
      </c>
      <c r="AF153" t="s">
        <v>1053</v>
      </c>
    </row>
    <row r="154" spans="1:32" x14ac:dyDescent="0.3">
      <c r="A154" s="3" t="s">
        <v>81</v>
      </c>
      <c r="B154" s="3" t="s">
        <v>82</v>
      </c>
      <c r="C154" s="3" t="s">
        <v>83</v>
      </c>
      <c r="D154" s="5">
        <v>45996</v>
      </c>
      <c r="E154" s="5">
        <v>46015</v>
      </c>
      <c r="F154" s="3" t="s">
        <v>30</v>
      </c>
      <c r="G154" s="3" t="s">
        <v>84</v>
      </c>
      <c r="H154" s="4">
        <v>196</v>
      </c>
      <c r="I154" s="4">
        <v>4404575</v>
      </c>
      <c r="J154" s="3" t="s">
        <v>856</v>
      </c>
      <c r="K154" s="3" t="s">
        <v>857</v>
      </c>
      <c r="L154" s="3" t="s">
        <v>858</v>
      </c>
      <c r="M154" s="5">
        <v>45917</v>
      </c>
      <c r="N154" s="3" t="s">
        <v>836</v>
      </c>
      <c r="O154" s="3" t="s">
        <v>837</v>
      </c>
      <c r="P154" s="3" t="s">
        <v>44</v>
      </c>
      <c r="Q154" s="6">
        <v>364</v>
      </c>
      <c r="R154" s="6">
        <v>563.71</v>
      </c>
      <c r="S154" s="5">
        <v>46091</v>
      </c>
      <c r="T154" s="3" t="s">
        <v>72</v>
      </c>
      <c r="U154" s="3" t="s">
        <v>112</v>
      </c>
      <c r="V154" s="3" t="s">
        <v>55</v>
      </c>
      <c r="W154" s="3" t="s">
        <v>32</v>
      </c>
      <c r="X154" s="3" t="s">
        <v>45</v>
      </c>
      <c r="Y154" s="3">
        <v>100181</v>
      </c>
      <c r="Z154" s="3" t="s">
        <v>127</v>
      </c>
      <c r="AA154" s="3">
        <v>100151</v>
      </c>
      <c r="AB154" s="3" t="s">
        <v>108</v>
      </c>
      <c r="AC154" s="4">
        <f ca="1">TODAY()-Open[[#This Row],[Status Date]]</f>
        <v>113</v>
      </c>
      <c r="AD154" s="3" t="s">
        <v>91</v>
      </c>
      <c r="AE154" t="str">
        <f t="shared" si="2"/>
        <v>Mason Reynolds</v>
      </c>
      <c r="AF154" t="s">
        <v>1053</v>
      </c>
    </row>
    <row r="155" spans="1:32" x14ac:dyDescent="0.3">
      <c r="A155" s="3" t="s">
        <v>81</v>
      </c>
      <c r="B155" s="3" t="s">
        <v>82</v>
      </c>
      <c r="C155" s="3" t="s">
        <v>83</v>
      </c>
      <c r="D155" s="5">
        <v>46007</v>
      </c>
      <c r="E155" s="5">
        <v>46099</v>
      </c>
      <c r="F155" s="3" t="s">
        <v>30</v>
      </c>
      <c r="G155" s="3" t="s">
        <v>84</v>
      </c>
      <c r="H155" s="4">
        <v>185</v>
      </c>
      <c r="I155" s="4">
        <v>4407134</v>
      </c>
      <c r="J155" s="3" t="s">
        <v>859</v>
      </c>
      <c r="K155" s="3" t="s">
        <v>860</v>
      </c>
      <c r="L155" s="3" t="s">
        <v>861</v>
      </c>
      <c r="M155" s="5">
        <v>45930</v>
      </c>
      <c r="N155" s="3" t="s">
        <v>836</v>
      </c>
      <c r="O155" s="3" t="s">
        <v>837</v>
      </c>
      <c r="P155" s="3" t="s">
        <v>34</v>
      </c>
      <c r="Q155" s="6">
        <v>493.2</v>
      </c>
      <c r="R155" s="6">
        <v>1147.3699999999999</v>
      </c>
      <c r="S155" s="5">
        <v>46091</v>
      </c>
      <c r="T155" s="3" t="s">
        <v>66</v>
      </c>
      <c r="U155" s="3" t="s">
        <v>79</v>
      </c>
      <c r="V155" s="3" t="s">
        <v>55</v>
      </c>
      <c r="W155" s="3" t="s">
        <v>32</v>
      </c>
      <c r="X155" s="3" t="s">
        <v>35</v>
      </c>
      <c r="Y155" s="3">
        <v>100281</v>
      </c>
      <c r="Z155" s="3" t="s">
        <v>322</v>
      </c>
      <c r="AA155" s="3">
        <v>100281</v>
      </c>
      <c r="AB155" s="3" t="s">
        <v>322</v>
      </c>
      <c r="AC155" s="4">
        <f ca="1">TODAY()-Open[[#This Row],[Status Date]]</f>
        <v>113</v>
      </c>
      <c r="AD155" s="3" t="s">
        <v>91</v>
      </c>
      <c r="AE155" t="str">
        <f t="shared" si="2"/>
        <v>Grace Whitaker</v>
      </c>
      <c r="AF155" t="s">
        <v>1055</v>
      </c>
    </row>
    <row r="156" spans="1:32" x14ac:dyDescent="0.3">
      <c r="A156" s="3" t="s">
        <v>81</v>
      </c>
      <c r="B156" s="3" t="s">
        <v>82</v>
      </c>
      <c r="C156" s="3" t="s">
        <v>83</v>
      </c>
      <c r="D156" s="5">
        <v>46009</v>
      </c>
      <c r="E156" s="5">
        <v>46009</v>
      </c>
      <c r="F156" s="3" t="s">
        <v>30</v>
      </c>
      <c r="G156" s="3" t="s">
        <v>84</v>
      </c>
      <c r="H156" s="4">
        <v>183</v>
      </c>
      <c r="I156" s="4">
        <v>4406654</v>
      </c>
      <c r="J156" s="3" t="s">
        <v>862</v>
      </c>
      <c r="K156" s="3" t="s">
        <v>863</v>
      </c>
      <c r="L156" s="3" t="s">
        <v>864</v>
      </c>
      <c r="M156" s="5">
        <v>45965</v>
      </c>
      <c r="N156" s="3" t="s">
        <v>663</v>
      </c>
      <c r="O156" s="3" t="s">
        <v>664</v>
      </c>
      <c r="P156" s="3" t="s">
        <v>34</v>
      </c>
      <c r="Q156" s="6">
        <v>3897</v>
      </c>
      <c r="R156" s="6">
        <v>3897</v>
      </c>
      <c r="S156" s="5">
        <v>46188</v>
      </c>
      <c r="T156" s="3" t="s">
        <v>66</v>
      </c>
      <c r="U156" s="3" t="s">
        <v>79</v>
      </c>
      <c r="V156" s="3" t="s">
        <v>49</v>
      </c>
      <c r="W156" s="3" t="s">
        <v>80</v>
      </c>
      <c r="X156" s="3" t="s">
        <v>35</v>
      </c>
      <c r="Y156" s="3">
        <v>100111</v>
      </c>
      <c r="Z156" s="3" t="s">
        <v>90</v>
      </c>
      <c r="AA156" s="3">
        <v>100111</v>
      </c>
      <c r="AB156" s="3" t="s">
        <v>90</v>
      </c>
      <c r="AC156" s="4">
        <f ca="1">TODAY()-Open[[#This Row],[Status Date]]</f>
        <v>16</v>
      </c>
      <c r="AD156" s="3" t="s">
        <v>91</v>
      </c>
      <c r="AE156" t="str">
        <f t="shared" si="2"/>
        <v>Andrew Ross</v>
      </c>
      <c r="AF156" t="s">
        <v>1055</v>
      </c>
    </row>
    <row r="157" spans="1:32" x14ac:dyDescent="0.3">
      <c r="A157" s="3" t="s">
        <v>81</v>
      </c>
      <c r="B157" s="3" t="s">
        <v>82</v>
      </c>
      <c r="C157" s="3" t="s">
        <v>83</v>
      </c>
      <c r="D157" s="5">
        <v>46010</v>
      </c>
      <c r="E157" s="5">
        <v>46162</v>
      </c>
      <c r="F157" s="3" t="s">
        <v>30</v>
      </c>
      <c r="G157" s="3" t="s">
        <v>84</v>
      </c>
      <c r="H157" s="4">
        <v>182</v>
      </c>
      <c r="I157" s="4">
        <v>4413854</v>
      </c>
      <c r="J157" s="3" t="s">
        <v>865</v>
      </c>
      <c r="K157" s="3" t="s">
        <v>866</v>
      </c>
      <c r="L157" s="3" t="s">
        <v>867</v>
      </c>
      <c r="M157" s="5">
        <v>46008</v>
      </c>
      <c r="N157" s="3" t="s">
        <v>403</v>
      </c>
      <c r="O157" s="3" t="s">
        <v>404</v>
      </c>
      <c r="P157" s="3" t="s">
        <v>48</v>
      </c>
      <c r="Q157" s="6">
        <v>551.22</v>
      </c>
      <c r="R157" s="6">
        <v>551.22</v>
      </c>
      <c r="S157" s="5">
        <v>46188</v>
      </c>
      <c r="T157" s="3" t="s">
        <v>74</v>
      </c>
      <c r="U157" s="3" t="s">
        <v>75</v>
      </c>
      <c r="V157" s="3" t="s">
        <v>49</v>
      </c>
      <c r="W157" s="3" t="s">
        <v>80</v>
      </c>
      <c r="X157" s="3" t="s">
        <v>50</v>
      </c>
      <c r="Y157" s="3">
        <v>100211</v>
      </c>
      <c r="Z157" s="3" t="s">
        <v>107</v>
      </c>
      <c r="AA157" s="3">
        <v>100151</v>
      </c>
      <c r="AB157" s="3" t="s">
        <v>108</v>
      </c>
      <c r="AC157" s="4">
        <f ca="1">TODAY()-Open[[#This Row],[Status Date]]</f>
        <v>16</v>
      </c>
      <c r="AD157" s="3" t="s">
        <v>91</v>
      </c>
      <c r="AE157" t="str">
        <f t="shared" si="2"/>
        <v>Mason Reynolds</v>
      </c>
      <c r="AF157" t="s">
        <v>1058</v>
      </c>
    </row>
    <row r="158" spans="1:32" x14ac:dyDescent="0.3">
      <c r="A158" s="3" t="s">
        <v>81</v>
      </c>
      <c r="B158" s="3" t="s">
        <v>82</v>
      </c>
      <c r="C158" s="3" t="s">
        <v>83</v>
      </c>
      <c r="D158" s="5">
        <v>46013</v>
      </c>
      <c r="E158" s="5">
        <v>46013</v>
      </c>
      <c r="F158" s="3" t="s">
        <v>67</v>
      </c>
      <c r="G158" s="3" t="s">
        <v>84</v>
      </c>
      <c r="H158" s="4">
        <v>179</v>
      </c>
      <c r="I158" s="4">
        <v>4412684</v>
      </c>
      <c r="J158" s="3" t="s">
        <v>868</v>
      </c>
      <c r="K158" s="3" t="s">
        <v>869</v>
      </c>
      <c r="L158" s="3" t="s">
        <v>870</v>
      </c>
      <c r="M158" s="5">
        <v>45967</v>
      </c>
      <c r="N158" s="3" t="s">
        <v>663</v>
      </c>
      <c r="O158" s="3" t="s">
        <v>664</v>
      </c>
      <c r="P158" s="3" t="s">
        <v>34</v>
      </c>
      <c r="Q158" s="6">
        <v>3152</v>
      </c>
      <c r="R158" s="6">
        <v>3152</v>
      </c>
      <c r="S158" s="5">
        <v>46188</v>
      </c>
      <c r="T158" s="3" t="s">
        <v>66</v>
      </c>
      <c r="U158" s="3" t="s">
        <v>79</v>
      </c>
      <c r="V158" s="3" t="s">
        <v>49</v>
      </c>
      <c r="W158" s="3" t="s">
        <v>80</v>
      </c>
      <c r="X158" s="3" t="s">
        <v>35</v>
      </c>
      <c r="Y158" s="3">
        <v>100121</v>
      </c>
      <c r="Z158" s="3" t="s">
        <v>103</v>
      </c>
      <c r="AA158" s="3">
        <v>100121</v>
      </c>
      <c r="AB158" s="3" t="s">
        <v>103</v>
      </c>
      <c r="AC158" s="4">
        <f ca="1">TODAY()-Open[[#This Row],[Status Date]]</f>
        <v>16</v>
      </c>
      <c r="AD158" s="3" t="s">
        <v>91</v>
      </c>
      <c r="AE158" t="str">
        <f t="shared" si="2"/>
        <v>Olivia Jenkins</v>
      </c>
      <c r="AF158" t="s">
        <v>1055</v>
      </c>
    </row>
    <row r="159" spans="1:32" x14ac:dyDescent="0.3">
      <c r="A159" s="3" t="s">
        <v>81</v>
      </c>
      <c r="B159" s="3" t="s">
        <v>82</v>
      </c>
      <c r="C159" s="3" t="s">
        <v>83</v>
      </c>
      <c r="D159" s="5">
        <v>46014</v>
      </c>
      <c r="E159" s="5">
        <v>46014</v>
      </c>
      <c r="F159" s="3" t="s">
        <v>67</v>
      </c>
      <c r="G159" s="3" t="s">
        <v>84</v>
      </c>
      <c r="H159" s="4">
        <v>178</v>
      </c>
      <c r="I159" s="4">
        <v>4413864</v>
      </c>
      <c r="J159" s="3" t="s">
        <v>871</v>
      </c>
      <c r="K159" s="3" t="s">
        <v>872</v>
      </c>
      <c r="L159" s="3" t="s">
        <v>873</v>
      </c>
      <c r="M159" s="5">
        <v>45974</v>
      </c>
      <c r="N159" s="3" t="s">
        <v>663</v>
      </c>
      <c r="O159" s="3" t="s">
        <v>664</v>
      </c>
      <c r="P159" s="3" t="s">
        <v>40</v>
      </c>
      <c r="Q159" s="6">
        <v>10234</v>
      </c>
      <c r="R159" s="6">
        <v>10234</v>
      </c>
      <c r="S159" s="5">
        <v>46188</v>
      </c>
      <c r="T159" s="3" t="s">
        <v>66</v>
      </c>
      <c r="U159" s="3" t="s">
        <v>79</v>
      </c>
      <c r="V159" s="3" t="s">
        <v>49</v>
      </c>
      <c r="W159" s="3" t="s">
        <v>80</v>
      </c>
      <c r="X159" s="3" t="s">
        <v>41</v>
      </c>
      <c r="Y159" s="3">
        <v>100151</v>
      </c>
      <c r="Z159" s="3" t="s">
        <v>108</v>
      </c>
      <c r="AA159" s="3">
        <v>100151</v>
      </c>
      <c r="AB159" s="3" t="s">
        <v>108</v>
      </c>
      <c r="AC159" s="4">
        <f ca="1">TODAY()-Open[[#This Row],[Status Date]]</f>
        <v>16</v>
      </c>
      <c r="AD159" s="3" t="s">
        <v>91</v>
      </c>
      <c r="AE159" t="str">
        <f t="shared" si="2"/>
        <v>Mason Reynolds</v>
      </c>
      <c r="AF159" t="s">
        <v>1060</v>
      </c>
    </row>
    <row r="160" spans="1:32" x14ac:dyDescent="0.3">
      <c r="A160" s="3" t="s">
        <v>81</v>
      </c>
      <c r="B160" s="3" t="s">
        <v>82</v>
      </c>
      <c r="C160" s="3" t="s">
        <v>83</v>
      </c>
      <c r="D160" s="5">
        <v>46014</v>
      </c>
      <c r="E160" s="5">
        <v>46014</v>
      </c>
      <c r="F160" s="3" t="s">
        <v>67</v>
      </c>
      <c r="G160" s="3" t="s">
        <v>84</v>
      </c>
      <c r="H160" s="4">
        <v>178</v>
      </c>
      <c r="I160" s="4">
        <v>4413964</v>
      </c>
      <c r="J160" s="3" t="s">
        <v>874</v>
      </c>
      <c r="K160" s="3" t="s">
        <v>875</v>
      </c>
      <c r="L160" s="3" t="s">
        <v>876</v>
      </c>
      <c r="M160" s="5">
        <v>45975</v>
      </c>
      <c r="N160" s="3" t="s">
        <v>663</v>
      </c>
      <c r="O160" s="3" t="s">
        <v>664</v>
      </c>
      <c r="P160" s="3" t="s">
        <v>34</v>
      </c>
      <c r="Q160" s="6">
        <v>5845.5</v>
      </c>
      <c r="R160" s="6">
        <v>5845.5</v>
      </c>
      <c r="S160" s="5">
        <v>46188</v>
      </c>
      <c r="T160" s="3" t="s">
        <v>66</v>
      </c>
      <c r="U160" s="3" t="s">
        <v>79</v>
      </c>
      <c r="V160" s="3" t="s">
        <v>49</v>
      </c>
      <c r="W160" s="3" t="s">
        <v>80</v>
      </c>
      <c r="X160" s="3" t="s">
        <v>35</v>
      </c>
      <c r="Y160" s="3">
        <v>100161</v>
      </c>
      <c r="Z160" s="3" t="s">
        <v>132</v>
      </c>
      <c r="AA160" s="3">
        <v>100161</v>
      </c>
      <c r="AB160" s="3" t="s">
        <v>132</v>
      </c>
      <c r="AC160" s="4">
        <f ca="1">TODAY()-Open[[#This Row],[Status Date]]</f>
        <v>16</v>
      </c>
      <c r="AD160" s="3" t="s">
        <v>91</v>
      </c>
      <c r="AE160" t="str">
        <f t="shared" si="2"/>
        <v>Connor Bishop</v>
      </c>
      <c r="AF160" t="s">
        <v>1055</v>
      </c>
    </row>
    <row r="161" spans="1:32" x14ac:dyDescent="0.3">
      <c r="A161" s="3" t="s">
        <v>81</v>
      </c>
      <c r="B161" s="3" t="s">
        <v>82</v>
      </c>
      <c r="C161" s="3" t="s">
        <v>83</v>
      </c>
      <c r="D161" s="5">
        <v>46014</v>
      </c>
      <c r="E161" s="5">
        <v>46014</v>
      </c>
      <c r="F161" s="3" t="s">
        <v>67</v>
      </c>
      <c r="G161" s="3" t="s">
        <v>84</v>
      </c>
      <c r="H161" s="4">
        <v>178</v>
      </c>
      <c r="I161" s="4">
        <v>4413944</v>
      </c>
      <c r="J161" s="3" t="s">
        <v>877</v>
      </c>
      <c r="K161" s="3" t="s">
        <v>878</v>
      </c>
      <c r="L161" s="3" t="s">
        <v>879</v>
      </c>
      <c r="M161" s="5">
        <v>45978</v>
      </c>
      <c r="N161" s="3" t="s">
        <v>663</v>
      </c>
      <c r="O161" s="3" t="s">
        <v>664</v>
      </c>
      <c r="P161" s="3" t="s">
        <v>34</v>
      </c>
      <c r="Q161" s="6">
        <v>676.9</v>
      </c>
      <c r="R161" s="6">
        <v>676.9</v>
      </c>
      <c r="S161" s="5">
        <v>46188</v>
      </c>
      <c r="T161" s="3" t="s">
        <v>66</v>
      </c>
      <c r="U161" s="3" t="s">
        <v>79</v>
      </c>
      <c r="V161" s="3" t="s">
        <v>49</v>
      </c>
      <c r="W161" s="3" t="s">
        <v>80</v>
      </c>
      <c r="X161" s="3" t="s">
        <v>35</v>
      </c>
      <c r="Y161" s="3">
        <v>100191</v>
      </c>
      <c r="Z161" s="3" t="s">
        <v>137</v>
      </c>
      <c r="AA161" s="3">
        <v>100191</v>
      </c>
      <c r="AB161" s="3" t="s">
        <v>137</v>
      </c>
      <c r="AC161" s="4">
        <f ca="1">TODAY()-Open[[#This Row],[Status Date]]</f>
        <v>16</v>
      </c>
      <c r="AD161" s="3" t="s">
        <v>91</v>
      </c>
      <c r="AE161" t="str">
        <f t="shared" si="2"/>
        <v>Dominic Flores</v>
      </c>
      <c r="AF161" t="s">
        <v>1055</v>
      </c>
    </row>
    <row r="162" spans="1:32" x14ac:dyDescent="0.3">
      <c r="A162" s="3" t="s">
        <v>81</v>
      </c>
      <c r="B162" s="3" t="s">
        <v>82</v>
      </c>
      <c r="C162" s="3" t="s">
        <v>83</v>
      </c>
      <c r="D162" s="5">
        <v>46014</v>
      </c>
      <c r="E162" s="5">
        <v>46014</v>
      </c>
      <c r="F162" s="3" t="s">
        <v>67</v>
      </c>
      <c r="G162" s="3" t="s">
        <v>84</v>
      </c>
      <c r="H162" s="4">
        <v>178</v>
      </c>
      <c r="I162" s="4">
        <v>4413924</v>
      </c>
      <c r="J162" s="3" t="s">
        <v>880</v>
      </c>
      <c r="K162" s="3" t="s">
        <v>881</v>
      </c>
      <c r="L162" s="3" t="s">
        <v>882</v>
      </c>
      <c r="M162" s="5">
        <v>45980</v>
      </c>
      <c r="N162" s="3" t="s">
        <v>663</v>
      </c>
      <c r="O162" s="3" t="s">
        <v>664</v>
      </c>
      <c r="P162" s="3" t="s">
        <v>34</v>
      </c>
      <c r="Q162" s="6">
        <v>549.72</v>
      </c>
      <c r="R162" s="6">
        <v>549.72</v>
      </c>
      <c r="S162" s="5">
        <v>46188</v>
      </c>
      <c r="T162" s="3" t="s">
        <v>66</v>
      </c>
      <c r="U162" s="3" t="s">
        <v>79</v>
      </c>
      <c r="V162" s="3" t="s">
        <v>49</v>
      </c>
      <c r="W162" s="3" t="s">
        <v>80</v>
      </c>
      <c r="X162" s="3" t="s">
        <v>35</v>
      </c>
      <c r="Y162" s="3">
        <v>100201</v>
      </c>
      <c r="Z162" s="3" t="s">
        <v>306</v>
      </c>
      <c r="AA162" s="3">
        <v>100201</v>
      </c>
      <c r="AB162" s="3" t="s">
        <v>306</v>
      </c>
      <c r="AC162" s="4">
        <f ca="1">TODAY()-Open[[#This Row],[Status Date]]</f>
        <v>16</v>
      </c>
      <c r="AD162" s="3" t="s">
        <v>91</v>
      </c>
      <c r="AE162" t="str">
        <f t="shared" si="2"/>
        <v>Aiden Harper</v>
      </c>
      <c r="AF162" t="s">
        <v>1055</v>
      </c>
    </row>
    <row r="163" spans="1:32" x14ac:dyDescent="0.3">
      <c r="A163" s="3" t="s">
        <v>81</v>
      </c>
      <c r="B163" s="3" t="s">
        <v>82</v>
      </c>
      <c r="C163" s="3" t="s">
        <v>83</v>
      </c>
      <c r="D163" s="5">
        <v>46014</v>
      </c>
      <c r="E163" s="5">
        <v>46014</v>
      </c>
      <c r="F163" s="3" t="s">
        <v>67</v>
      </c>
      <c r="G163" s="3" t="s">
        <v>84</v>
      </c>
      <c r="H163" s="4">
        <v>178</v>
      </c>
      <c r="I163" s="4">
        <v>4412414</v>
      </c>
      <c r="J163" s="3" t="s">
        <v>883</v>
      </c>
      <c r="K163" s="3" t="s">
        <v>884</v>
      </c>
      <c r="L163" s="3" t="s">
        <v>885</v>
      </c>
      <c r="M163" s="5">
        <v>45980</v>
      </c>
      <c r="N163" s="3" t="s">
        <v>663</v>
      </c>
      <c r="O163" s="3" t="s">
        <v>664</v>
      </c>
      <c r="P163" s="3" t="s">
        <v>34</v>
      </c>
      <c r="Q163" s="6">
        <v>274.86</v>
      </c>
      <c r="R163" s="6">
        <v>274.86</v>
      </c>
      <c r="S163" s="5">
        <v>46188</v>
      </c>
      <c r="T163" s="3" t="s">
        <v>66</v>
      </c>
      <c r="U163" s="3" t="s">
        <v>79</v>
      </c>
      <c r="V163" s="3" t="s">
        <v>49</v>
      </c>
      <c r="W163" s="3" t="s">
        <v>80</v>
      </c>
      <c r="X163" s="3" t="s">
        <v>35</v>
      </c>
      <c r="Y163" s="3">
        <v>100231</v>
      </c>
      <c r="Z163" s="3" t="s">
        <v>310</v>
      </c>
      <c r="AA163" s="3">
        <v>100231</v>
      </c>
      <c r="AB163" s="3" t="s">
        <v>310</v>
      </c>
      <c r="AC163" s="4">
        <f ca="1">TODAY()-Open[[#This Row],[Status Date]]</f>
        <v>16</v>
      </c>
      <c r="AD163" s="3" t="s">
        <v>91</v>
      </c>
      <c r="AE163" t="str">
        <f t="shared" si="2"/>
        <v>Jackson Norris</v>
      </c>
      <c r="AF163" t="s">
        <v>1055</v>
      </c>
    </row>
    <row r="164" spans="1:32" x14ac:dyDescent="0.3">
      <c r="A164" s="3" t="s">
        <v>81</v>
      </c>
      <c r="B164" s="3" t="s">
        <v>82</v>
      </c>
      <c r="C164" s="3" t="s">
        <v>83</v>
      </c>
      <c r="D164" s="5">
        <v>46014</v>
      </c>
      <c r="E164" s="5">
        <v>46014</v>
      </c>
      <c r="F164" s="3" t="s">
        <v>67</v>
      </c>
      <c r="G164" s="3" t="s">
        <v>84</v>
      </c>
      <c r="H164" s="4">
        <v>178</v>
      </c>
      <c r="I164" s="4">
        <v>4413373</v>
      </c>
      <c r="J164" s="3" t="s">
        <v>886</v>
      </c>
      <c r="K164" s="3" t="s">
        <v>887</v>
      </c>
      <c r="L164" s="3" t="s">
        <v>888</v>
      </c>
      <c r="M164" s="5">
        <v>45983</v>
      </c>
      <c r="N164" s="3" t="s">
        <v>663</v>
      </c>
      <c r="O164" s="3" t="s">
        <v>664</v>
      </c>
      <c r="P164" s="3" t="s">
        <v>34</v>
      </c>
      <c r="Q164" s="6">
        <v>168</v>
      </c>
      <c r="R164" s="6">
        <v>168</v>
      </c>
      <c r="S164" s="5">
        <v>46188</v>
      </c>
      <c r="T164" s="3" t="s">
        <v>66</v>
      </c>
      <c r="U164" s="3" t="s">
        <v>79</v>
      </c>
      <c r="V164" s="3" t="s">
        <v>49</v>
      </c>
      <c r="W164" s="3" t="s">
        <v>80</v>
      </c>
      <c r="X164" s="3" t="s">
        <v>35</v>
      </c>
      <c r="Y164" s="3">
        <v>100241</v>
      </c>
      <c r="Z164" s="3" t="s">
        <v>314</v>
      </c>
      <c r="AA164" s="3">
        <v>100241</v>
      </c>
      <c r="AB164" s="3" t="s">
        <v>314</v>
      </c>
      <c r="AC164" s="4">
        <f ca="1">TODAY()-Open[[#This Row],[Status Date]]</f>
        <v>16</v>
      </c>
      <c r="AD164" s="3" t="s">
        <v>91</v>
      </c>
      <c r="AE164" t="str">
        <f t="shared" si="2"/>
        <v>Leah Pearson</v>
      </c>
      <c r="AF164" t="s">
        <v>1055</v>
      </c>
    </row>
    <row r="165" spans="1:32" x14ac:dyDescent="0.3">
      <c r="A165" s="3" t="s">
        <v>81</v>
      </c>
      <c r="B165" s="3" t="s">
        <v>82</v>
      </c>
      <c r="C165" s="3" t="s">
        <v>83</v>
      </c>
      <c r="D165" s="5">
        <v>46014</v>
      </c>
      <c r="E165" s="5">
        <v>46014</v>
      </c>
      <c r="F165" s="3" t="s">
        <v>67</v>
      </c>
      <c r="G165" s="3" t="s">
        <v>84</v>
      </c>
      <c r="H165" s="4">
        <v>178</v>
      </c>
      <c r="I165" s="4">
        <v>4413383</v>
      </c>
      <c r="J165" s="3" t="s">
        <v>889</v>
      </c>
      <c r="K165" s="3" t="s">
        <v>890</v>
      </c>
      <c r="L165" s="3" t="s">
        <v>891</v>
      </c>
      <c r="M165" s="5">
        <v>45987</v>
      </c>
      <c r="N165" s="3" t="s">
        <v>663</v>
      </c>
      <c r="O165" s="3" t="s">
        <v>664</v>
      </c>
      <c r="P165" s="3" t="s">
        <v>34</v>
      </c>
      <c r="Q165" s="6">
        <v>42</v>
      </c>
      <c r="R165" s="6">
        <v>42</v>
      </c>
      <c r="S165" s="5">
        <v>46188</v>
      </c>
      <c r="T165" s="3" t="s">
        <v>66</v>
      </c>
      <c r="U165" s="3" t="s">
        <v>79</v>
      </c>
      <c r="V165" s="3" t="s">
        <v>49</v>
      </c>
      <c r="W165" s="3" t="s">
        <v>80</v>
      </c>
      <c r="X165" s="3" t="s">
        <v>35</v>
      </c>
      <c r="Y165" s="3">
        <v>100271</v>
      </c>
      <c r="Z165" s="3" t="s">
        <v>318</v>
      </c>
      <c r="AA165" s="3">
        <v>100271</v>
      </c>
      <c r="AB165" s="3" t="s">
        <v>318</v>
      </c>
      <c r="AC165" s="4">
        <f ca="1">TODAY()-Open[[#This Row],[Status Date]]</f>
        <v>16</v>
      </c>
      <c r="AD165" s="3" t="s">
        <v>91</v>
      </c>
      <c r="AE165" t="str">
        <f t="shared" si="2"/>
        <v>Brooke Palmer</v>
      </c>
      <c r="AF165" t="s">
        <v>1055</v>
      </c>
    </row>
    <row r="166" spans="1:32" x14ac:dyDescent="0.3">
      <c r="A166" s="3" t="s">
        <v>81</v>
      </c>
      <c r="B166" s="3" t="s">
        <v>82</v>
      </c>
      <c r="C166" s="3" t="s">
        <v>83</v>
      </c>
      <c r="D166" s="5">
        <v>46020</v>
      </c>
      <c r="E166" s="5">
        <v>46020</v>
      </c>
      <c r="F166" s="3" t="s">
        <v>67</v>
      </c>
      <c r="G166" s="3" t="s">
        <v>84</v>
      </c>
      <c r="H166" s="4">
        <v>172</v>
      </c>
      <c r="I166" s="4">
        <v>4414663</v>
      </c>
      <c r="J166" s="3" t="s">
        <v>892</v>
      </c>
      <c r="K166" s="3" t="s">
        <v>893</v>
      </c>
      <c r="L166" s="3" t="s">
        <v>894</v>
      </c>
      <c r="M166" s="5">
        <v>45993</v>
      </c>
      <c r="N166" s="3" t="s">
        <v>663</v>
      </c>
      <c r="O166" s="3" t="s">
        <v>664</v>
      </c>
      <c r="P166" s="3" t="s">
        <v>34</v>
      </c>
      <c r="Q166" s="6">
        <v>11691</v>
      </c>
      <c r="R166" s="6">
        <v>11691</v>
      </c>
      <c r="S166" s="5">
        <v>46188</v>
      </c>
      <c r="T166" s="3" t="s">
        <v>66</v>
      </c>
      <c r="U166" s="3" t="s">
        <v>79</v>
      </c>
      <c r="V166" s="3" t="s">
        <v>49</v>
      </c>
      <c r="W166" s="3" t="s">
        <v>80</v>
      </c>
      <c r="X166" s="3" t="s">
        <v>35</v>
      </c>
      <c r="Y166" s="3">
        <v>100281</v>
      </c>
      <c r="Z166" s="3" t="s">
        <v>322</v>
      </c>
      <c r="AA166" s="3">
        <v>100281</v>
      </c>
      <c r="AB166" s="3" t="s">
        <v>322</v>
      </c>
      <c r="AC166" s="4">
        <f ca="1">TODAY()-Open[[#This Row],[Status Date]]</f>
        <v>16</v>
      </c>
      <c r="AD166" s="3" t="s">
        <v>91</v>
      </c>
      <c r="AE166" t="str">
        <f t="shared" si="2"/>
        <v>Grace Whitaker</v>
      </c>
      <c r="AF166" t="s">
        <v>1055</v>
      </c>
    </row>
    <row r="167" spans="1:32" x14ac:dyDescent="0.3">
      <c r="A167" s="3" t="s">
        <v>81</v>
      </c>
      <c r="B167" s="3" t="s">
        <v>82</v>
      </c>
      <c r="C167" s="3" t="s">
        <v>83</v>
      </c>
      <c r="D167" s="5">
        <v>46020</v>
      </c>
      <c r="E167" s="5">
        <v>46020</v>
      </c>
      <c r="F167" s="3" t="s">
        <v>67</v>
      </c>
      <c r="G167" s="3" t="s">
        <v>84</v>
      </c>
      <c r="H167" s="4">
        <v>172</v>
      </c>
      <c r="I167" s="4">
        <v>4415103</v>
      </c>
      <c r="J167" s="3" t="s">
        <v>895</v>
      </c>
      <c r="K167" s="3" t="s">
        <v>896</v>
      </c>
      <c r="L167" s="3" t="s">
        <v>897</v>
      </c>
      <c r="M167" s="5">
        <v>46000</v>
      </c>
      <c r="N167" s="3" t="s">
        <v>663</v>
      </c>
      <c r="O167" s="3" t="s">
        <v>664</v>
      </c>
      <c r="P167" s="3" t="s">
        <v>40</v>
      </c>
      <c r="Q167" s="6">
        <v>13867.07</v>
      </c>
      <c r="R167" s="6">
        <v>13867.07</v>
      </c>
      <c r="S167" s="5">
        <v>46188</v>
      </c>
      <c r="T167" s="3" t="s">
        <v>66</v>
      </c>
      <c r="U167" s="3" t="s">
        <v>79</v>
      </c>
      <c r="V167" s="3" t="s">
        <v>49</v>
      </c>
      <c r="W167" s="3" t="s">
        <v>80</v>
      </c>
      <c r="X167" s="3" t="s">
        <v>41</v>
      </c>
      <c r="Y167" s="3">
        <v>100111</v>
      </c>
      <c r="Z167" s="3" t="s">
        <v>90</v>
      </c>
      <c r="AA167" s="3">
        <v>100111</v>
      </c>
      <c r="AB167" s="3" t="s">
        <v>90</v>
      </c>
      <c r="AC167" s="4">
        <f ca="1">TODAY()-Open[[#This Row],[Status Date]]</f>
        <v>16</v>
      </c>
      <c r="AD167" s="3" t="s">
        <v>91</v>
      </c>
      <c r="AE167" t="str">
        <f t="shared" si="2"/>
        <v>Andrew Ross</v>
      </c>
      <c r="AF167" t="s">
        <v>1060</v>
      </c>
    </row>
    <row r="168" spans="1:32" x14ac:dyDescent="0.3">
      <c r="A168" s="3" t="s">
        <v>81</v>
      </c>
      <c r="B168" s="3" t="s">
        <v>82</v>
      </c>
      <c r="C168" s="3" t="s">
        <v>83</v>
      </c>
      <c r="D168" s="5">
        <v>46020</v>
      </c>
      <c r="E168" s="5">
        <v>46020</v>
      </c>
      <c r="F168" s="3" t="s">
        <v>67</v>
      </c>
      <c r="G168" s="3" t="s">
        <v>84</v>
      </c>
      <c r="H168" s="4">
        <v>172</v>
      </c>
      <c r="I168" s="4">
        <v>4414653</v>
      </c>
      <c r="J168" s="3" t="s">
        <v>898</v>
      </c>
      <c r="K168" s="3" t="s">
        <v>899</v>
      </c>
      <c r="L168" s="3" t="s">
        <v>900</v>
      </c>
      <c r="M168" s="5">
        <v>46003</v>
      </c>
      <c r="N168" s="3" t="s">
        <v>663</v>
      </c>
      <c r="O168" s="3" t="s">
        <v>664</v>
      </c>
      <c r="P168" s="3" t="s">
        <v>34</v>
      </c>
      <c r="Q168" s="6">
        <v>13639.5</v>
      </c>
      <c r="R168" s="6">
        <v>13639.5</v>
      </c>
      <c r="S168" s="5">
        <v>46188</v>
      </c>
      <c r="T168" s="3" t="s">
        <v>66</v>
      </c>
      <c r="U168" s="3" t="s">
        <v>79</v>
      </c>
      <c r="V168" s="3" t="s">
        <v>49</v>
      </c>
      <c r="W168" s="3" t="s">
        <v>80</v>
      </c>
      <c r="X168" s="3" t="s">
        <v>35</v>
      </c>
      <c r="Y168" s="3">
        <v>100121</v>
      </c>
      <c r="Z168" s="3" t="s">
        <v>103</v>
      </c>
      <c r="AA168" s="3">
        <v>100121</v>
      </c>
      <c r="AB168" s="3" t="s">
        <v>103</v>
      </c>
      <c r="AC168" s="4">
        <f ca="1">TODAY()-Open[[#This Row],[Status Date]]</f>
        <v>16</v>
      </c>
      <c r="AD168" s="3" t="s">
        <v>91</v>
      </c>
      <c r="AE168" t="str">
        <f t="shared" si="2"/>
        <v>Olivia Jenkins</v>
      </c>
      <c r="AF168" t="s">
        <v>1055</v>
      </c>
    </row>
    <row r="169" spans="1:32" x14ac:dyDescent="0.3">
      <c r="A169" s="3" t="s">
        <v>81</v>
      </c>
      <c r="B169" s="3" t="s">
        <v>82</v>
      </c>
      <c r="C169" s="3" t="s">
        <v>83</v>
      </c>
      <c r="D169" s="5">
        <v>46028</v>
      </c>
      <c r="E169" s="5">
        <v>46028</v>
      </c>
      <c r="F169" s="3" t="s">
        <v>67</v>
      </c>
      <c r="G169" s="3" t="s">
        <v>84</v>
      </c>
      <c r="H169" s="4">
        <v>164</v>
      </c>
      <c r="I169" s="4">
        <v>4414333</v>
      </c>
      <c r="J169" s="3" t="s">
        <v>901</v>
      </c>
      <c r="K169" s="3" t="s">
        <v>902</v>
      </c>
      <c r="L169" s="3" t="s">
        <v>903</v>
      </c>
      <c r="M169" s="5">
        <v>46010</v>
      </c>
      <c r="N169" s="3" t="s">
        <v>663</v>
      </c>
      <c r="O169" s="3" t="s">
        <v>664</v>
      </c>
      <c r="P169" s="3" t="s">
        <v>34</v>
      </c>
      <c r="Q169" s="6">
        <v>210</v>
      </c>
      <c r="R169" s="6">
        <v>210</v>
      </c>
      <c r="S169" s="5">
        <v>46188</v>
      </c>
      <c r="T169" s="3" t="s">
        <v>66</v>
      </c>
      <c r="U169" s="3" t="s">
        <v>79</v>
      </c>
      <c r="V169" s="3" t="s">
        <v>49</v>
      </c>
      <c r="W169" s="3" t="s">
        <v>80</v>
      </c>
      <c r="X169" s="3" t="s">
        <v>35</v>
      </c>
      <c r="Y169" s="3">
        <v>100151</v>
      </c>
      <c r="Z169" s="3" t="s">
        <v>108</v>
      </c>
      <c r="AA169" s="3">
        <v>100151</v>
      </c>
      <c r="AB169" s="3" t="s">
        <v>108</v>
      </c>
      <c r="AC169" s="4">
        <f ca="1">TODAY()-Open[[#This Row],[Status Date]]</f>
        <v>16</v>
      </c>
      <c r="AD169" s="3" t="s">
        <v>91</v>
      </c>
      <c r="AE169" t="str">
        <f t="shared" si="2"/>
        <v>Mason Reynolds</v>
      </c>
      <c r="AF169" t="s">
        <v>1055</v>
      </c>
    </row>
    <row r="170" spans="1:32" x14ac:dyDescent="0.3">
      <c r="A170" s="3" t="s">
        <v>81</v>
      </c>
      <c r="B170" s="3" t="s">
        <v>82</v>
      </c>
      <c r="C170" s="3" t="s">
        <v>83</v>
      </c>
      <c r="D170" s="5">
        <v>46028</v>
      </c>
      <c r="E170" s="5">
        <v>46028</v>
      </c>
      <c r="F170" s="3" t="s">
        <v>67</v>
      </c>
      <c r="G170" s="3" t="s">
        <v>84</v>
      </c>
      <c r="H170" s="4">
        <v>164</v>
      </c>
      <c r="I170" s="4">
        <v>4414323</v>
      </c>
      <c r="J170" s="3" t="s">
        <v>904</v>
      </c>
      <c r="K170" s="3" t="s">
        <v>905</v>
      </c>
      <c r="L170" s="3" t="s">
        <v>906</v>
      </c>
      <c r="M170" s="5">
        <v>46011</v>
      </c>
      <c r="N170" s="3" t="s">
        <v>663</v>
      </c>
      <c r="O170" s="3" t="s">
        <v>664</v>
      </c>
      <c r="P170" s="3" t="s">
        <v>34</v>
      </c>
      <c r="Q170" s="6">
        <v>3152</v>
      </c>
      <c r="R170" s="6">
        <v>3152</v>
      </c>
      <c r="S170" s="5">
        <v>46188</v>
      </c>
      <c r="T170" s="3" t="s">
        <v>66</v>
      </c>
      <c r="U170" s="3" t="s">
        <v>79</v>
      </c>
      <c r="V170" s="3" t="s">
        <v>49</v>
      </c>
      <c r="W170" s="3" t="s">
        <v>80</v>
      </c>
      <c r="X170" s="3" t="s">
        <v>35</v>
      </c>
      <c r="Y170" s="3">
        <v>100161</v>
      </c>
      <c r="Z170" s="3" t="s">
        <v>132</v>
      </c>
      <c r="AA170" s="3">
        <v>100161</v>
      </c>
      <c r="AB170" s="3" t="s">
        <v>132</v>
      </c>
      <c r="AC170" s="4">
        <f ca="1">TODAY()-Open[[#This Row],[Status Date]]</f>
        <v>16</v>
      </c>
      <c r="AD170" s="3" t="s">
        <v>91</v>
      </c>
      <c r="AE170" t="str">
        <f t="shared" si="2"/>
        <v>Connor Bishop</v>
      </c>
      <c r="AF170" t="s">
        <v>1055</v>
      </c>
    </row>
    <row r="171" spans="1:32" x14ac:dyDescent="0.3">
      <c r="A171" s="3" t="s">
        <v>81</v>
      </c>
      <c r="B171" s="3" t="s">
        <v>82</v>
      </c>
      <c r="C171" s="3" t="s">
        <v>83</v>
      </c>
      <c r="D171" s="5">
        <v>46028</v>
      </c>
      <c r="E171" s="5">
        <v>46028</v>
      </c>
      <c r="F171" s="3" t="s">
        <v>67</v>
      </c>
      <c r="G171" s="3" t="s">
        <v>84</v>
      </c>
      <c r="H171" s="4">
        <v>164</v>
      </c>
      <c r="I171" s="4">
        <v>4414923</v>
      </c>
      <c r="J171" s="3" t="s">
        <v>907</v>
      </c>
      <c r="K171" s="3" t="s">
        <v>908</v>
      </c>
      <c r="L171" s="3" t="s">
        <v>909</v>
      </c>
      <c r="M171" s="5">
        <v>46014</v>
      </c>
      <c r="N171" s="3" t="s">
        <v>663</v>
      </c>
      <c r="O171" s="3" t="s">
        <v>664</v>
      </c>
      <c r="P171" s="3" t="s">
        <v>34</v>
      </c>
      <c r="Q171" s="6">
        <v>824.58</v>
      </c>
      <c r="R171" s="6">
        <v>824.58</v>
      </c>
      <c r="S171" s="5">
        <v>46188</v>
      </c>
      <c r="T171" s="3" t="s">
        <v>66</v>
      </c>
      <c r="U171" s="3" t="s">
        <v>79</v>
      </c>
      <c r="V171" s="3" t="s">
        <v>49</v>
      </c>
      <c r="W171" s="3" t="s">
        <v>80</v>
      </c>
      <c r="X171" s="3" t="s">
        <v>35</v>
      </c>
      <c r="Y171" s="3">
        <v>100191</v>
      </c>
      <c r="Z171" s="3" t="s">
        <v>137</v>
      </c>
      <c r="AA171" s="3">
        <v>100191</v>
      </c>
      <c r="AB171" s="3" t="s">
        <v>137</v>
      </c>
      <c r="AC171" s="4">
        <f ca="1">TODAY()-Open[[#This Row],[Status Date]]</f>
        <v>16</v>
      </c>
      <c r="AD171" s="3" t="s">
        <v>91</v>
      </c>
      <c r="AE171" t="str">
        <f t="shared" si="2"/>
        <v>Dominic Flores</v>
      </c>
      <c r="AF171" t="s">
        <v>1055</v>
      </c>
    </row>
    <row r="172" spans="1:32" x14ac:dyDescent="0.3">
      <c r="A172" s="3" t="s">
        <v>81</v>
      </c>
      <c r="B172" s="3" t="s">
        <v>82</v>
      </c>
      <c r="C172" s="3" t="s">
        <v>83</v>
      </c>
      <c r="D172" s="5">
        <v>46028</v>
      </c>
      <c r="E172" s="5">
        <v>46028</v>
      </c>
      <c r="F172" s="3" t="s">
        <v>67</v>
      </c>
      <c r="G172" s="3" t="s">
        <v>84</v>
      </c>
      <c r="H172" s="4">
        <v>164</v>
      </c>
      <c r="I172" s="4">
        <v>4414673</v>
      </c>
      <c r="J172" s="3" t="s">
        <v>910</v>
      </c>
      <c r="K172" s="3" t="s">
        <v>911</v>
      </c>
      <c r="L172" s="3" t="s">
        <v>912</v>
      </c>
      <c r="M172" s="5">
        <v>46015</v>
      </c>
      <c r="N172" s="3" t="s">
        <v>663</v>
      </c>
      <c r="O172" s="3" t="s">
        <v>664</v>
      </c>
      <c r="P172" s="3" t="s">
        <v>34</v>
      </c>
      <c r="Q172" s="6">
        <v>733.32</v>
      </c>
      <c r="R172" s="6">
        <v>733.32</v>
      </c>
      <c r="S172" s="5">
        <v>46188</v>
      </c>
      <c r="T172" s="3" t="s">
        <v>66</v>
      </c>
      <c r="U172" s="3" t="s">
        <v>79</v>
      </c>
      <c r="V172" s="3" t="s">
        <v>49</v>
      </c>
      <c r="W172" s="3" t="s">
        <v>80</v>
      </c>
      <c r="X172" s="3" t="s">
        <v>35</v>
      </c>
      <c r="Y172" s="3">
        <v>100201</v>
      </c>
      <c r="Z172" s="3" t="s">
        <v>306</v>
      </c>
      <c r="AA172" s="3">
        <v>100201</v>
      </c>
      <c r="AB172" s="3" t="s">
        <v>306</v>
      </c>
      <c r="AC172" s="4">
        <f ca="1">TODAY()-Open[[#This Row],[Status Date]]</f>
        <v>16</v>
      </c>
      <c r="AD172" s="3" t="s">
        <v>91</v>
      </c>
      <c r="AE172" t="str">
        <f t="shared" si="2"/>
        <v>Aiden Harper</v>
      </c>
      <c r="AF172" t="s">
        <v>1055</v>
      </c>
    </row>
    <row r="173" spans="1:32" x14ac:dyDescent="0.3">
      <c r="A173" s="3" t="s">
        <v>81</v>
      </c>
      <c r="B173" s="3" t="s">
        <v>82</v>
      </c>
      <c r="C173" s="3" t="s">
        <v>83</v>
      </c>
      <c r="D173" s="5">
        <v>46029</v>
      </c>
      <c r="E173" s="5">
        <v>46051</v>
      </c>
      <c r="F173" s="3" t="s">
        <v>67</v>
      </c>
      <c r="G173" s="3" t="s">
        <v>84</v>
      </c>
      <c r="H173" s="4">
        <v>163</v>
      </c>
      <c r="I173" s="4">
        <v>4414623</v>
      </c>
      <c r="J173" s="3" t="s">
        <v>913</v>
      </c>
      <c r="K173" s="3" t="s">
        <v>914</v>
      </c>
      <c r="L173" s="3" t="s">
        <v>915</v>
      </c>
      <c r="M173" s="5">
        <v>45937</v>
      </c>
      <c r="N173" s="3" t="s">
        <v>916</v>
      </c>
      <c r="O173" s="3" t="s">
        <v>917</v>
      </c>
      <c r="P173" s="3" t="s">
        <v>60</v>
      </c>
      <c r="Q173" s="6">
        <v>439.71</v>
      </c>
      <c r="R173" s="6">
        <v>439.71</v>
      </c>
      <c r="S173" s="5">
        <v>46191</v>
      </c>
      <c r="T173" s="3" t="s">
        <v>66</v>
      </c>
      <c r="U173" s="3" t="s">
        <v>79</v>
      </c>
      <c r="V173" s="3" t="s">
        <v>49</v>
      </c>
      <c r="W173" s="3" t="s">
        <v>80</v>
      </c>
      <c r="X173" s="3" t="s">
        <v>61</v>
      </c>
      <c r="Y173" s="3">
        <v>100231</v>
      </c>
      <c r="Z173" s="3" t="s">
        <v>310</v>
      </c>
      <c r="AA173" s="3">
        <v>100231</v>
      </c>
      <c r="AB173" s="3" t="s">
        <v>310</v>
      </c>
      <c r="AC173" s="4">
        <f ca="1">TODAY()-Open[[#This Row],[Status Date]]</f>
        <v>13</v>
      </c>
      <c r="AD173" s="3" t="s">
        <v>91</v>
      </c>
      <c r="AE173" t="str">
        <f t="shared" si="2"/>
        <v>Jackson Norris</v>
      </c>
      <c r="AF173" t="s">
        <v>1061</v>
      </c>
    </row>
    <row r="174" spans="1:32" x14ac:dyDescent="0.3">
      <c r="A174" s="3" t="s">
        <v>81</v>
      </c>
      <c r="B174" s="3" t="s">
        <v>82</v>
      </c>
      <c r="C174" s="3" t="s">
        <v>83</v>
      </c>
      <c r="D174" s="5">
        <v>46044</v>
      </c>
      <c r="E174" s="5">
        <v>46048</v>
      </c>
      <c r="F174" s="3" t="s">
        <v>67</v>
      </c>
      <c r="G174" s="3" t="s">
        <v>84</v>
      </c>
      <c r="H174" s="4">
        <v>148</v>
      </c>
      <c r="I174" s="4">
        <v>4420743</v>
      </c>
      <c r="J174" s="3" t="s">
        <v>918</v>
      </c>
      <c r="K174" s="3" t="s">
        <v>919</v>
      </c>
      <c r="L174" s="3" t="s">
        <v>920</v>
      </c>
      <c r="M174" s="5">
        <v>46042</v>
      </c>
      <c r="N174" s="3" t="s">
        <v>663</v>
      </c>
      <c r="O174" s="3" t="s">
        <v>664</v>
      </c>
      <c r="P174" s="3" t="s">
        <v>34</v>
      </c>
      <c r="Q174" s="6">
        <v>265</v>
      </c>
      <c r="R174" s="6">
        <v>265</v>
      </c>
      <c r="S174" s="5">
        <v>46188</v>
      </c>
      <c r="T174" s="3" t="s">
        <v>66</v>
      </c>
      <c r="U174" s="3" t="s">
        <v>79</v>
      </c>
      <c r="V174" s="3" t="s">
        <v>49</v>
      </c>
      <c r="W174" s="3" t="s">
        <v>80</v>
      </c>
      <c r="X174" s="3" t="s">
        <v>35</v>
      </c>
      <c r="Y174" s="3">
        <v>100241</v>
      </c>
      <c r="Z174" s="3" t="s">
        <v>314</v>
      </c>
      <c r="AA174" s="3">
        <v>100241</v>
      </c>
      <c r="AB174" s="3" t="s">
        <v>314</v>
      </c>
      <c r="AC174" s="4">
        <f ca="1">TODAY()-Open[[#This Row],[Status Date]]</f>
        <v>16</v>
      </c>
      <c r="AD174" s="3" t="s">
        <v>91</v>
      </c>
      <c r="AE174" t="str">
        <f t="shared" si="2"/>
        <v>Leah Pearson</v>
      </c>
      <c r="AF174" t="s">
        <v>1055</v>
      </c>
    </row>
    <row r="175" spans="1:32" x14ac:dyDescent="0.3">
      <c r="A175" s="3" t="s">
        <v>81</v>
      </c>
      <c r="B175" s="3" t="s">
        <v>82</v>
      </c>
      <c r="C175" s="3" t="s">
        <v>83</v>
      </c>
      <c r="D175" s="5">
        <v>46044</v>
      </c>
      <c r="E175" s="5">
        <v>46048</v>
      </c>
      <c r="F175" s="3" t="s">
        <v>67</v>
      </c>
      <c r="G175" s="3" t="s">
        <v>84</v>
      </c>
      <c r="H175" s="4">
        <v>148</v>
      </c>
      <c r="I175" s="4">
        <v>4417363</v>
      </c>
      <c r="J175" s="3" t="s">
        <v>921</v>
      </c>
      <c r="K175" s="3" t="s">
        <v>922</v>
      </c>
      <c r="L175" s="3" t="s">
        <v>923</v>
      </c>
      <c r="M175" s="5">
        <v>46042</v>
      </c>
      <c r="N175" s="3" t="s">
        <v>663</v>
      </c>
      <c r="O175" s="3" t="s">
        <v>664</v>
      </c>
      <c r="P175" s="3" t="s">
        <v>34</v>
      </c>
      <c r="Q175" s="6">
        <v>265</v>
      </c>
      <c r="R175" s="6">
        <v>265</v>
      </c>
      <c r="S175" s="5">
        <v>46188</v>
      </c>
      <c r="T175" s="3" t="s">
        <v>66</v>
      </c>
      <c r="U175" s="3" t="s">
        <v>79</v>
      </c>
      <c r="V175" s="3" t="s">
        <v>49</v>
      </c>
      <c r="W175" s="3" t="s">
        <v>80</v>
      </c>
      <c r="X175" s="3" t="s">
        <v>35</v>
      </c>
      <c r="Y175" s="3">
        <v>100271</v>
      </c>
      <c r="Z175" s="3" t="s">
        <v>318</v>
      </c>
      <c r="AA175" s="3">
        <v>100271</v>
      </c>
      <c r="AB175" s="3" t="s">
        <v>318</v>
      </c>
      <c r="AC175" s="4">
        <f ca="1">TODAY()-Open[[#This Row],[Status Date]]</f>
        <v>16</v>
      </c>
      <c r="AD175" s="3" t="s">
        <v>91</v>
      </c>
      <c r="AE175" t="str">
        <f t="shared" si="2"/>
        <v>Brooke Palmer</v>
      </c>
      <c r="AF175" t="s">
        <v>1055</v>
      </c>
    </row>
    <row r="176" spans="1:32" x14ac:dyDescent="0.3">
      <c r="A176" s="3" t="s">
        <v>81</v>
      </c>
      <c r="B176" s="3" t="s">
        <v>82</v>
      </c>
      <c r="C176" s="3" t="s">
        <v>83</v>
      </c>
      <c r="D176" s="5">
        <v>46052</v>
      </c>
      <c r="E176" s="5">
        <v>46052</v>
      </c>
      <c r="F176" s="3" t="s">
        <v>67</v>
      </c>
      <c r="G176" s="3" t="s">
        <v>84</v>
      </c>
      <c r="H176" s="4">
        <v>140</v>
      </c>
      <c r="I176" s="4">
        <v>4429422</v>
      </c>
      <c r="J176" s="3" t="s">
        <v>924</v>
      </c>
      <c r="K176" s="3" t="s">
        <v>925</v>
      </c>
      <c r="L176" s="3" t="s">
        <v>926</v>
      </c>
      <c r="M176" s="5">
        <v>45940</v>
      </c>
      <c r="N176" s="3" t="s">
        <v>927</v>
      </c>
      <c r="O176" s="3" t="s">
        <v>928</v>
      </c>
      <c r="P176" s="3" t="s">
        <v>46</v>
      </c>
      <c r="Q176" s="6">
        <v>33578</v>
      </c>
      <c r="R176" s="6">
        <v>33578</v>
      </c>
      <c r="S176" s="5">
        <v>46195</v>
      </c>
      <c r="T176" s="3" t="s">
        <v>66</v>
      </c>
      <c r="U176" s="3" t="s">
        <v>79</v>
      </c>
      <c r="V176" s="3" t="s">
        <v>55</v>
      </c>
      <c r="W176" s="3" t="s">
        <v>32</v>
      </c>
      <c r="X176" s="3" t="s">
        <v>47</v>
      </c>
      <c r="Y176" s="3">
        <v>100281</v>
      </c>
      <c r="Z176" s="3" t="s">
        <v>322</v>
      </c>
      <c r="AA176" s="3">
        <v>100281</v>
      </c>
      <c r="AB176" s="3" t="s">
        <v>322</v>
      </c>
      <c r="AC176" s="4">
        <f ca="1">TODAY()-Open[[#This Row],[Status Date]]</f>
        <v>9</v>
      </c>
      <c r="AD176" s="3" t="s">
        <v>91</v>
      </c>
      <c r="AE176" t="str">
        <f t="shared" si="2"/>
        <v>Grace Whitaker</v>
      </c>
      <c r="AF176" t="s">
        <v>1059</v>
      </c>
    </row>
    <row r="177" spans="1:32" x14ac:dyDescent="0.3">
      <c r="A177" s="3" t="s">
        <v>81</v>
      </c>
      <c r="B177" s="3" t="s">
        <v>82</v>
      </c>
      <c r="C177" s="3" t="s">
        <v>83</v>
      </c>
      <c r="D177" s="5">
        <v>46053</v>
      </c>
      <c r="E177" s="5">
        <v>46053</v>
      </c>
      <c r="F177" s="3" t="s">
        <v>67</v>
      </c>
      <c r="G177" s="3" t="s">
        <v>84</v>
      </c>
      <c r="H177" s="4">
        <v>139</v>
      </c>
      <c r="I177" s="4">
        <v>4429452</v>
      </c>
      <c r="J177" s="3" t="s">
        <v>929</v>
      </c>
      <c r="K177" s="3" t="s">
        <v>930</v>
      </c>
      <c r="L177" s="3" t="s">
        <v>931</v>
      </c>
      <c r="M177" s="5">
        <v>46052</v>
      </c>
      <c r="N177" s="3" t="s">
        <v>88</v>
      </c>
      <c r="O177" s="3" t="s">
        <v>89</v>
      </c>
      <c r="P177" s="3" t="s">
        <v>44</v>
      </c>
      <c r="Q177" s="6">
        <v>142.93</v>
      </c>
      <c r="R177" s="6">
        <v>142.93</v>
      </c>
      <c r="S177" s="5">
        <v>46195</v>
      </c>
      <c r="T177" s="3" t="s">
        <v>72</v>
      </c>
      <c r="U177" s="3" t="s">
        <v>112</v>
      </c>
      <c r="V177" s="3" t="s">
        <v>55</v>
      </c>
      <c r="W177" s="3" t="s">
        <v>32</v>
      </c>
      <c r="X177" s="3" t="s">
        <v>45</v>
      </c>
      <c r="Y177" s="3">
        <v>100221</v>
      </c>
      <c r="Z177" s="3" t="s">
        <v>131</v>
      </c>
      <c r="AA177" s="3">
        <v>100161</v>
      </c>
      <c r="AB177" s="3" t="s">
        <v>132</v>
      </c>
      <c r="AC177" s="4">
        <f ca="1">TODAY()-Open[[#This Row],[Status Date]]</f>
        <v>9</v>
      </c>
      <c r="AD177" s="3" t="s">
        <v>91</v>
      </c>
      <c r="AE177" t="str">
        <f t="shared" si="2"/>
        <v>Connor Bishop</v>
      </c>
      <c r="AF177" t="s">
        <v>1053</v>
      </c>
    </row>
    <row r="178" spans="1:32" x14ac:dyDescent="0.3">
      <c r="A178" s="3" t="s">
        <v>81</v>
      </c>
      <c r="B178" s="3" t="s">
        <v>82</v>
      </c>
      <c r="C178" s="3" t="s">
        <v>83</v>
      </c>
      <c r="D178" s="5">
        <v>46053</v>
      </c>
      <c r="E178" s="5">
        <v>46053</v>
      </c>
      <c r="F178" s="3" t="s">
        <v>67</v>
      </c>
      <c r="G178" s="3" t="s">
        <v>84</v>
      </c>
      <c r="H178" s="4">
        <v>139</v>
      </c>
      <c r="I178" s="4">
        <v>4430122</v>
      </c>
      <c r="J178" s="3" t="s">
        <v>932</v>
      </c>
      <c r="K178" s="3" t="s">
        <v>933</v>
      </c>
      <c r="L178" s="3" t="s">
        <v>934</v>
      </c>
      <c r="M178" s="5">
        <v>46052</v>
      </c>
      <c r="N178" s="3" t="s">
        <v>88</v>
      </c>
      <c r="O178" s="3" t="s">
        <v>89</v>
      </c>
      <c r="P178" s="3" t="s">
        <v>44</v>
      </c>
      <c r="Q178" s="6">
        <v>142.93</v>
      </c>
      <c r="R178" s="6">
        <v>142.93</v>
      </c>
      <c r="S178" s="5">
        <v>46195</v>
      </c>
      <c r="T178" s="3" t="s">
        <v>72</v>
      </c>
      <c r="U178" s="3" t="s">
        <v>112</v>
      </c>
      <c r="V178" s="3" t="s">
        <v>55</v>
      </c>
      <c r="W178" s="3" t="s">
        <v>32</v>
      </c>
      <c r="X178" s="3" t="s">
        <v>45</v>
      </c>
      <c r="Y178" s="3">
        <v>100261</v>
      </c>
      <c r="Z178" s="3" t="s">
        <v>136</v>
      </c>
      <c r="AA178" s="3">
        <v>100191</v>
      </c>
      <c r="AB178" s="3" t="s">
        <v>137</v>
      </c>
      <c r="AC178" s="4">
        <f ca="1">TODAY()-Open[[#This Row],[Status Date]]</f>
        <v>9</v>
      </c>
      <c r="AD178" s="3" t="s">
        <v>91</v>
      </c>
      <c r="AE178" t="str">
        <f t="shared" si="2"/>
        <v>Dominic Flores</v>
      </c>
      <c r="AF178" t="s">
        <v>1053</v>
      </c>
    </row>
    <row r="179" spans="1:32" x14ac:dyDescent="0.3">
      <c r="A179" s="3" t="s">
        <v>81</v>
      </c>
      <c r="B179" s="3" t="s">
        <v>82</v>
      </c>
      <c r="C179" s="3" t="s">
        <v>83</v>
      </c>
      <c r="D179" s="5">
        <v>46053</v>
      </c>
      <c r="E179" s="5">
        <v>46053</v>
      </c>
      <c r="F179" s="3" t="s">
        <v>67</v>
      </c>
      <c r="G179" s="3" t="s">
        <v>84</v>
      </c>
      <c r="H179" s="4">
        <v>139</v>
      </c>
      <c r="I179" s="4">
        <v>4430102</v>
      </c>
      <c r="J179" s="3" t="s">
        <v>935</v>
      </c>
      <c r="K179" s="3" t="s">
        <v>936</v>
      </c>
      <c r="L179" s="3" t="s">
        <v>937</v>
      </c>
      <c r="M179" s="5">
        <v>46052</v>
      </c>
      <c r="N179" s="3" t="s">
        <v>88</v>
      </c>
      <c r="O179" s="3" t="s">
        <v>89</v>
      </c>
      <c r="P179" s="3" t="s">
        <v>44</v>
      </c>
      <c r="Q179" s="6">
        <v>142.93</v>
      </c>
      <c r="R179" s="6">
        <v>142.93</v>
      </c>
      <c r="S179" s="5">
        <v>46195</v>
      </c>
      <c r="T179" s="3" t="s">
        <v>72</v>
      </c>
      <c r="U179" s="3" t="s">
        <v>112</v>
      </c>
      <c r="V179" s="3" t="s">
        <v>55</v>
      </c>
      <c r="W179" s="3" t="s">
        <v>32</v>
      </c>
      <c r="X179" s="3" t="s">
        <v>45</v>
      </c>
      <c r="Y179" s="3">
        <v>100101</v>
      </c>
      <c r="Z179" s="3" t="s">
        <v>113</v>
      </c>
      <c r="AA179" s="3">
        <v>100111</v>
      </c>
      <c r="AB179" s="3" t="s">
        <v>90</v>
      </c>
      <c r="AC179" s="4">
        <f ca="1">TODAY()-Open[[#This Row],[Status Date]]</f>
        <v>9</v>
      </c>
      <c r="AD179" s="3" t="s">
        <v>91</v>
      </c>
      <c r="AE179" t="str">
        <f t="shared" si="2"/>
        <v>Andrew Ross</v>
      </c>
      <c r="AF179" t="s">
        <v>1053</v>
      </c>
    </row>
    <row r="180" spans="1:32" x14ac:dyDescent="0.3">
      <c r="A180" s="3" t="s">
        <v>81</v>
      </c>
      <c r="B180" s="3" t="s">
        <v>82</v>
      </c>
      <c r="C180" s="3" t="s">
        <v>83</v>
      </c>
      <c r="D180" s="5">
        <v>46058</v>
      </c>
      <c r="E180" s="5">
        <v>46058</v>
      </c>
      <c r="F180" s="3" t="s">
        <v>67</v>
      </c>
      <c r="G180" s="3" t="s">
        <v>84</v>
      </c>
      <c r="H180" s="4">
        <v>134</v>
      </c>
      <c r="I180" s="4">
        <v>4432801</v>
      </c>
      <c r="J180" s="3" t="s">
        <v>938</v>
      </c>
      <c r="K180" s="3" t="s">
        <v>939</v>
      </c>
      <c r="L180" s="3" t="s">
        <v>940</v>
      </c>
      <c r="M180" s="5">
        <v>45961</v>
      </c>
      <c r="N180" s="3" t="s">
        <v>927</v>
      </c>
      <c r="O180" s="3" t="s">
        <v>928</v>
      </c>
      <c r="P180" s="3" t="s">
        <v>40</v>
      </c>
      <c r="Q180" s="6">
        <v>7100.8</v>
      </c>
      <c r="R180" s="6">
        <v>7100.8</v>
      </c>
      <c r="S180" s="5">
        <v>46195</v>
      </c>
      <c r="T180" s="3" t="s">
        <v>66</v>
      </c>
      <c r="U180" s="3" t="s">
        <v>79</v>
      </c>
      <c r="V180" s="3" t="s">
        <v>55</v>
      </c>
      <c r="W180" s="3" t="s">
        <v>32</v>
      </c>
      <c r="X180" s="3" t="s">
        <v>41</v>
      </c>
      <c r="Y180" s="3">
        <v>100111</v>
      </c>
      <c r="Z180" s="3" t="s">
        <v>90</v>
      </c>
      <c r="AA180" s="3">
        <v>100111</v>
      </c>
      <c r="AB180" s="3" t="s">
        <v>90</v>
      </c>
      <c r="AC180" s="4">
        <f ca="1">TODAY()-Open[[#This Row],[Status Date]]</f>
        <v>9</v>
      </c>
      <c r="AD180" s="3" t="s">
        <v>91</v>
      </c>
      <c r="AE180" t="str">
        <f t="shared" si="2"/>
        <v>Andrew Ross</v>
      </c>
      <c r="AF180" t="s">
        <v>1060</v>
      </c>
    </row>
    <row r="181" spans="1:32" x14ac:dyDescent="0.3">
      <c r="A181" s="3" t="s">
        <v>81</v>
      </c>
      <c r="B181" s="3" t="s">
        <v>82</v>
      </c>
      <c r="C181" s="3" t="s">
        <v>83</v>
      </c>
      <c r="D181" s="5">
        <v>46059</v>
      </c>
      <c r="E181" s="5">
        <v>46059</v>
      </c>
      <c r="F181" s="3" t="s">
        <v>67</v>
      </c>
      <c r="G181" s="3" t="s">
        <v>84</v>
      </c>
      <c r="H181" s="4">
        <v>133</v>
      </c>
      <c r="I181" s="4">
        <v>4432781</v>
      </c>
      <c r="J181" s="3" t="s">
        <v>941</v>
      </c>
      <c r="K181" s="3" t="s">
        <v>942</v>
      </c>
      <c r="L181" s="3" t="s">
        <v>943</v>
      </c>
      <c r="M181" s="5">
        <v>46035</v>
      </c>
      <c r="N181" s="3" t="s">
        <v>663</v>
      </c>
      <c r="O181" s="3" t="s">
        <v>664</v>
      </c>
      <c r="P181" s="3" t="s">
        <v>34</v>
      </c>
      <c r="Q181" s="6">
        <v>274.86</v>
      </c>
      <c r="R181" s="6">
        <v>274.86</v>
      </c>
      <c r="S181" s="5">
        <v>46188</v>
      </c>
      <c r="T181" s="3" t="s">
        <v>66</v>
      </c>
      <c r="U181" s="3" t="s">
        <v>79</v>
      </c>
      <c r="V181" s="3" t="s">
        <v>49</v>
      </c>
      <c r="W181" s="3" t="s">
        <v>80</v>
      </c>
      <c r="X181" s="3" t="s">
        <v>35</v>
      </c>
      <c r="Y181" s="3">
        <v>100121</v>
      </c>
      <c r="Z181" s="3" t="s">
        <v>103</v>
      </c>
      <c r="AA181" s="3">
        <v>100121</v>
      </c>
      <c r="AB181" s="3" t="s">
        <v>103</v>
      </c>
      <c r="AC181" s="4">
        <f ca="1">TODAY()-Open[[#This Row],[Status Date]]</f>
        <v>16</v>
      </c>
      <c r="AD181" s="3" t="s">
        <v>91</v>
      </c>
      <c r="AE181" t="str">
        <f t="shared" si="2"/>
        <v>Olivia Jenkins</v>
      </c>
      <c r="AF181" t="s">
        <v>1055</v>
      </c>
    </row>
    <row r="182" spans="1:32" x14ac:dyDescent="0.3">
      <c r="A182" s="3" t="s">
        <v>81</v>
      </c>
      <c r="B182" s="3" t="s">
        <v>82</v>
      </c>
      <c r="C182" s="3" t="s">
        <v>83</v>
      </c>
      <c r="D182" s="5">
        <v>46071</v>
      </c>
      <c r="E182" s="5">
        <v>46080</v>
      </c>
      <c r="F182" s="3" t="s">
        <v>67</v>
      </c>
      <c r="G182" s="3" t="s">
        <v>84</v>
      </c>
      <c r="H182" s="4">
        <v>121</v>
      </c>
      <c r="I182" s="4">
        <v>4436561</v>
      </c>
      <c r="J182" s="3" t="s">
        <v>944</v>
      </c>
      <c r="K182" s="3" t="s">
        <v>945</v>
      </c>
      <c r="L182" s="3" t="s">
        <v>946</v>
      </c>
      <c r="M182" s="5">
        <v>46070</v>
      </c>
      <c r="N182" s="3" t="s">
        <v>663</v>
      </c>
      <c r="O182" s="3" t="s">
        <v>664</v>
      </c>
      <c r="P182" s="3" t="s">
        <v>34</v>
      </c>
      <c r="Q182" s="6">
        <v>265</v>
      </c>
      <c r="R182" s="6">
        <v>265</v>
      </c>
      <c r="S182" s="5">
        <v>46188</v>
      </c>
      <c r="T182" s="3" t="s">
        <v>66</v>
      </c>
      <c r="U182" s="3" t="s">
        <v>79</v>
      </c>
      <c r="V182" s="3" t="s">
        <v>49</v>
      </c>
      <c r="W182" s="3" t="s">
        <v>80</v>
      </c>
      <c r="X182" s="3" t="s">
        <v>35</v>
      </c>
      <c r="Y182" s="3">
        <v>100151</v>
      </c>
      <c r="Z182" s="3" t="s">
        <v>108</v>
      </c>
      <c r="AA182" s="3">
        <v>100151</v>
      </c>
      <c r="AB182" s="3" t="s">
        <v>108</v>
      </c>
      <c r="AC182" s="4">
        <f ca="1">TODAY()-Open[[#This Row],[Status Date]]</f>
        <v>16</v>
      </c>
      <c r="AD182" s="3" t="s">
        <v>91</v>
      </c>
      <c r="AE182" t="str">
        <f t="shared" si="2"/>
        <v>Mason Reynolds</v>
      </c>
      <c r="AF182" t="s">
        <v>1055</v>
      </c>
    </row>
    <row r="183" spans="1:32" x14ac:dyDescent="0.3">
      <c r="A183" s="3" t="s">
        <v>81</v>
      </c>
      <c r="B183" s="3" t="s">
        <v>82</v>
      </c>
      <c r="C183" s="3" t="s">
        <v>83</v>
      </c>
      <c r="D183" s="5">
        <v>46071</v>
      </c>
      <c r="E183" s="5">
        <v>46175</v>
      </c>
      <c r="F183" s="3" t="s">
        <v>67</v>
      </c>
      <c r="G183" s="3" t="s">
        <v>84</v>
      </c>
      <c r="H183" s="4">
        <v>121</v>
      </c>
      <c r="I183" s="4">
        <v>4435551</v>
      </c>
      <c r="J183" s="3" t="s">
        <v>947</v>
      </c>
      <c r="K183" s="3" t="s">
        <v>948</v>
      </c>
      <c r="L183" s="3" t="s">
        <v>949</v>
      </c>
      <c r="M183" s="5">
        <v>46021</v>
      </c>
      <c r="N183" s="3" t="s">
        <v>403</v>
      </c>
      <c r="O183" s="3" t="s">
        <v>404</v>
      </c>
      <c r="P183" s="3" t="s">
        <v>40</v>
      </c>
      <c r="Q183" s="6">
        <v>312</v>
      </c>
      <c r="R183" s="6">
        <v>312</v>
      </c>
      <c r="S183" s="5">
        <v>46188</v>
      </c>
      <c r="T183" s="3" t="s">
        <v>66</v>
      </c>
      <c r="U183" s="3" t="s">
        <v>79</v>
      </c>
      <c r="V183" s="3" t="s">
        <v>49</v>
      </c>
      <c r="W183" s="3" t="s">
        <v>80</v>
      </c>
      <c r="X183" s="3" t="s">
        <v>41</v>
      </c>
      <c r="Y183" s="3">
        <v>100161</v>
      </c>
      <c r="Z183" s="3" t="s">
        <v>132</v>
      </c>
      <c r="AA183" s="3">
        <v>100161</v>
      </c>
      <c r="AB183" s="3" t="s">
        <v>132</v>
      </c>
      <c r="AC183" s="4">
        <f ca="1">TODAY()-Open[[#This Row],[Status Date]]</f>
        <v>16</v>
      </c>
      <c r="AD183" s="3" t="s">
        <v>91</v>
      </c>
      <c r="AE183" t="str">
        <f t="shared" si="2"/>
        <v>Connor Bishop</v>
      </c>
      <c r="AF183" t="s">
        <v>1060</v>
      </c>
    </row>
    <row r="184" spans="1:32" x14ac:dyDescent="0.3">
      <c r="A184" s="3" t="s">
        <v>81</v>
      </c>
      <c r="B184" s="3" t="s">
        <v>82</v>
      </c>
      <c r="C184" s="3" t="s">
        <v>83</v>
      </c>
      <c r="D184" s="5">
        <v>46073</v>
      </c>
      <c r="E184" s="5">
        <v>46073</v>
      </c>
      <c r="F184" s="3" t="s">
        <v>67</v>
      </c>
      <c r="G184" s="3" t="s">
        <v>84</v>
      </c>
      <c r="H184" s="4">
        <v>119</v>
      </c>
      <c r="I184" s="4">
        <v>4438491</v>
      </c>
      <c r="J184" s="3" t="s">
        <v>950</v>
      </c>
      <c r="K184" s="3" t="s">
        <v>951</v>
      </c>
      <c r="L184" s="3" t="s">
        <v>952</v>
      </c>
      <c r="M184" s="5">
        <v>46049</v>
      </c>
      <c r="N184" s="3" t="s">
        <v>663</v>
      </c>
      <c r="O184" s="3" t="s">
        <v>664</v>
      </c>
      <c r="P184" s="3" t="s">
        <v>58</v>
      </c>
      <c r="Q184" s="6">
        <v>16875.28</v>
      </c>
      <c r="R184" s="6">
        <v>16875.28</v>
      </c>
      <c r="S184" s="5">
        <v>46188</v>
      </c>
      <c r="T184" s="3" t="s">
        <v>74</v>
      </c>
      <c r="U184" s="3" t="s">
        <v>75</v>
      </c>
      <c r="V184" s="3" t="s">
        <v>49</v>
      </c>
      <c r="W184" s="3" t="s">
        <v>80</v>
      </c>
      <c r="X184" s="3" t="s">
        <v>59</v>
      </c>
      <c r="Y184" s="3">
        <v>100251</v>
      </c>
      <c r="Z184" s="3" t="s">
        <v>405</v>
      </c>
      <c r="AA184" s="3">
        <v>100161</v>
      </c>
      <c r="AB184" s="3" t="s">
        <v>132</v>
      </c>
      <c r="AC184" s="4">
        <f ca="1">TODAY()-Open[[#This Row],[Status Date]]</f>
        <v>16</v>
      </c>
      <c r="AD184" s="3" t="s">
        <v>91</v>
      </c>
      <c r="AE184" t="str">
        <f t="shared" si="2"/>
        <v>Connor Bishop</v>
      </c>
      <c r="AF184" t="s">
        <v>1062</v>
      </c>
    </row>
    <row r="185" spans="1:32" x14ac:dyDescent="0.3">
      <c r="A185" s="3" t="s">
        <v>81</v>
      </c>
      <c r="B185" s="3" t="s">
        <v>82</v>
      </c>
      <c r="C185" s="3" t="s">
        <v>83</v>
      </c>
      <c r="D185" s="5">
        <v>46073</v>
      </c>
      <c r="E185" s="5">
        <v>46073</v>
      </c>
      <c r="F185" s="3" t="s">
        <v>67</v>
      </c>
      <c r="G185" s="3" t="s">
        <v>84</v>
      </c>
      <c r="H185" s="4">
        <v>119</v>
      </c>
      <c r="I185" s="4">
        <v>4438501</v>
      </c>
      <c r="J185" s="3" t="s">
        <v>953</v>
      </c>
      <c r="K185" s="3" t="s">
        <v>954</v>
      </c>
      <c r="L185" s="3" t="s">
        <v>955</v>
      </c>
      <c r="M185" s="5">
        <v>46052</v>
      </c>
      <c r="N185" s="3" t="s">
        <v>663</v>
      </c>
      <c r="O185" s="3" t="s">
        <v>664</v>
      </c>
      <c r="P185" s="3" t="s">
        <v>40</v>
      </c>
      <c r="Q185" s="6">
        <v>21850.93</v>
      </c>
      <c r="R185" s="6">
        <v>21850.93</v>
      </c>
      <c r="S185" s="5">
        <v>46188</v>
      </c>
      <c r="T185" s="3" t="s">
        <v>66</v>
      </c>
      <c r="U185" s="3" t="s">
        <v>79</v>
      </c>
      <c r="V185" s="3" t="s">
        <v>49</v>
      </c>
      <c r="W185" s="3" t="s">
        <v>80</v>
      </c>
      <c r="X185" s="3" t="s">
        <v>41</v>
      </c>
      <c r="Y185" s="3">
        <v>100191</v>
      </c>
      <c r="Z185" s="3" t="s">
        <v>137</v>
      </c>
      <c r="AA185" s="3">
        <v>100191</v>
      </c>
      <c r="AB185" s="3" t="s">
        <v>137</v>
      </c>
      <c r="AC185" s="4">
        <f ca="1">TODAY()-Open[[#This Row],[Status Date]]</f>
        <v>16</v>
      </c>
      <c r="AD185" s="3" t="s">
        <v>91</v>
      </c>
      <c r="AE185" t="str">
        <f t="shared" si="2"/>
        <v>Dominic Flores</v>
      </c>
      <c r="AF185" t="s">
        <v>1060</v>
      </c>
    </row>
    <row r="186" spans="1:32" x14ac:dyDescent="0.3">
      <c r="A186" s="3" t="s">
        <v>81</v>
      </c>
      <c r="B186" s="3" t="s">
        <v>82</v>
      </c>
      <c r="C186" s="3" t="s">
        <v>83</v>
      </c>
      <c r="D186" s="5">
        <v>46073</v>
      </c>
      <c r="E186" s="5">
        <v>46073</v>
      </c>
      <c r="F186" s="3" t="s">
        <v>67</v>
      </c>
      <c r="G186" s="3" t="s">
        <v>84</v>
      </c>
      <c r="H186" s="4">
        <v>119</v>
      </c>
      <c r="I186" s="4">
        <v>4438451</v>
      </c>
      <c r="J186" s="3" t="s">
        <v>956</v>
      </c>
      <c r="K186" s="3" t="s">
        <v>957</v>
      </c>
      <c r="L186" s="3" t="s">
        <v>958</v>
      </c>
      <c r="M186" s="5">
        <v>46058</v>
      </c>
      <c r="N186" s="3" t="s">
        <v>663</v>
      </c>
      <c r="O186" s="3" t="s">
        <v>664</v>
      </c>
      <c r="P186" s="3" t="s">
        <v>40</v>
      </c>
      <c r="Q186" s="6">
        <v>54557.5</v>
      </c>
      <c r="R186" s="6">
        <v>54557.5</v>
      </c>
      <c r="S186" s="5">
        <v>46188</v>
      </c>
      <c r="T186" s="3" t="s">
        <v>66</v>
      </c>
      <c r="U186" s="3" t="s">
        <v>79</v>
      </c>
      <c r="V186" s="3" t="s">
        <v>49</v>
      </c>
      <c r="W186" s="3" t="s">
        <v>80</v>
      </c>
      <c r="X186" s="3" t="s">
        <v>41</v>
      </c>
      <c r="Y186" s="3">
        <v>100201</v>
      </c>
      <c r="Z186" s="3" t="s">
        <v>306</v>
      </c>
      <c r="AA186" s="3">
        <v>100201</v>
      </c>
      <c r="AB186" s="3" t="s">
        <v>306</v>
      </c>
      <c r="AC186" s="4">
        <f ca="1">TODAY()-Open[[#This Row],[Status Date]]</f>
        <v>16</v>
      </c>
      <c r="AD186" s="3" t="s">
        <v>91</v>
      </c>
      <c r="AE186" t="str">
        <f t="shared" si="2"/>
        <v>Aiden Harper</v>
      </c>
      <c r="AF186" t="s">
        <v>1060</v>
      </c>
    </row>
    <row r="187" spans="1:32" x14ac:dyDescent="0.3">
      <c r="A187" s="3" t="s">
        <v>81</v>
      </c>
      <c r="B187" s="3" t="s">
        <v>82</v>
      </c>
      <c r="C187" s="3" t="s">
        <v>83</v>
      </c>
      <c r="D187" s="5">
        <v>46073</v>
      </c>
      <c r="E187" s="5">
        <v>46168</v>
      </c>
      <c r="F187" s="3" t="s">
        <v>67</v>
      </c>
      <c r="G187" s="3" t="s">
        <v>84</v>
      </c>
      <c r="H187" s="4">
        <v>119</v>
      </c>
      <c r="I187" s="4">
        <v>4438121</v>
      </c>
      <c r="J187" s="3" t="s">
        <v>959</v>
      </c>
      <c r="K187" s="3" t="s">
        <v>960</v>
      </c>
      <c r="L187" s="3" t="s">
        <v>961</v>
      </c>
      <c r="M187" s="5">
        <v>46056</v>
      </c>
      <c r="N187" s="3" t="s">
        <v>663</v>
      </c>
      <c r="O187" s="3" t="s">
        <v>664</v>
      </c>
      <c r="P187" s="3" t="s">
        <v>58</v>
      </c>
      <c r="Q187" s="6">
        <v>341.46</v>
      </c>
      <c r="R187" s="6">
        <v>24576.959999999999</v>
      </c>
      <c r="S187" s="5">
        <v>46188</v>
      </c>
      <c r="T187" s="3" t="s">
        <v>74</v>
      </c>
      <c r="U187" s="3" t="s">
        <v>75</v>
      </c>
      <c r="V187" s="3" t="s">
        <v>49</v>
      </c>
      <c r="W187" s="3" t="s">
        <v>80</v>
      </c>
      <c r="X187" s="3" t="s">
        <v>59</v>
      </c>
      <c r="Y187" s="3">
        <v>100131</v>
      </c>
      <c r="Z187" s="3" t="s">
        <v>98</v>
      </c>
      <c r="AA187" s="3">
        <v>100111</v>
      </c>
      <c r="AB187" s="3" t="s">
        <v>90</v>
      </c>
      <c r="AC187" s="4">
        <f ca="1">TODAY()-Open[[#This Row],[Status Date]]</f>
        <v>16</v>
      </c>
      <c r="AD187" s="3" t="s">
        <v>91</v>
      </c>
      <c r="AE187" t="str">
        <f t="shared" si="2"/>
        <v>Andrew Ross</v>
      </c>
      <c r="AF187" t="s">
        <v>1062</v>
      </c>
    </row>
    <row r="188" spans="1:32" x14ac:dyDescent="0.3">
      <c r="A188" s="3" t="s">
        <v>81</v>
      </c>
      <c r="B188" s="3" t="s">
        <v>82</v>
      </c>
      <c r="C188" s="3" t="s">
        <v>83</v>
      </c>
      <c r="D188" s="5">
        <v>46078</v>
      </c>
      <c r="E188" s="5">
        <v>46078</v>
      </c>
      <c r="F188" s="3" t="s">
        <v>67</v>
      </c>
      <c r="G188" s="3" t="s">
        <v>84</v>
      </c>
      <c r="H188" s="4">
        <v>114</v>
      </c>
      <c r="I188" s="4">
        <v>4436211</v>
      </c>
      <c r="J188" s="3" t="s">
        <v>962</v>
      </c>
      <c r="K188" s="3" t="s">
        <v>963</v>
      </c>
      <c r="L188" s="3" t="s">
        <v>964</v>
      </c>
      <c r="M188" s="5">
        <v>45897</v>
      </c>
      <c r="N188" s="3" t="s">
        <v>927</v>
      </c>
      <c r="O188" s="3" t="s">
        <v>928</v>
      </c>
      <c r="P188" s="3" t="s">
        <v>56</v>
      </c>
      <c r="Q188" s="6">
        <v>3172.83</v>
      </c>
      <c r="R188" s="6">
        <v>3172.83</v>
      </c>
      <c r="S188" s="5">
        <v>46195</v>
      </c>
      <c r="T188" s="3" t="s">
        <v>66</v>
      </c>
      <c r="U188" s="3" t="s">
        <v>79</v>
      </c>
      <c r="V188" s="3" t="s">
        <v>55</v>
      </c>
      <c r="W188" s="3" t="s">
        <v>32</v>
      </c>
      <c r="X188" s="3" t="s">
        <v>57</v>
      </c>
      <c r="Y188" s="3">
        <v>100231</v>
      </c>
      <c r="Z188" s="3" t="s">
        <v>310</v>
      </c>
      <c r="AA188" s="3">
        <v>100231</v>
      </c>
      <c r="AB188" s="3" t="s">
        <v>310</v>
      </c>
      <c r="AC188" s="4">
        <f ca="1">TODAY()-Open[[#This Row],[Status Date]]</f>
        <v>9</v>
      </c>
      <c r="AD188" s="3" t="s">
        <v>91</v>
      </c>
      <c r="AE188" t="str">
        <f t="shared" si="2"/>
        <v>Jackson Norris</v>
      </c>
      <c r="AF188" t="s">
        <v>1057</v>
      </c>
    </row>
    <row r="189" spans="1:32" x14ac:dyDescent="0.3">
      <c r="A189" s="3" t="s">
        <v>81</v>
      </c>
      <c r="B189" s="3" t="s">
        <v>82</v>
      </c>
      <c r="C189" s="3" t="s">
        <v>83</v>
      </c>
      <c r="D189" s="5">
        <v>46078</v>
      </c>
      <c r="E189" s="5">
        <v>46078</v>
      </c>
      <c r="F189" s="3" t="s">
        <v>67</v>
      </c>
      <c r="G189" s="3" t="s">
        <v>84</v>
      </c>
      <c r="H189" s="4">
        <v>114</v>
      </c>
      <c r="I189" s="4">
        <v>4438401</v>
      </c>
      <c r="J189" s="3" t="s">
        <v>965</v>
      </c>
      <c r="K189" s="3" t="s">
        <v>966</v>
      </c>
      <c r="L189" s="3" t="s">
        <v>967</v>
      </c>
      <c r="M189" s="5">
        <v>45959</v>
      </c>
      <c r="N189" s="3" t="s">
        <v>927</v>
      </c>
      <c r="O189" s="3" t="s">
        <v>928</v>
      </c>
      <c r="P189" s="3" t="s">
        <v>56</v>
      </c>
      <c r="Q189" s="6">
        <v>736.85</v>
      </c>
      <c r="R189" s="6">
        <v>736.85</v>
      </c>
      <c r="S189" s="5">
        <v>46195</v>
      </c>
      <c r="T189" s="3" t="s">
        <v>66</v>
      </c>
      <c r="U189" s="3" t="s">
        <v>79</v>
      </c>
      <c r="V189" s="3" t="s">
        <v>55</v>
      </c>
      <c r="W189" s="3" t="s">
        <v>32</v>
      </c>
      <c r="X189" s="3" t="s">
        <v>57</v>
      </c>
      <c r="Y189" s="3">
        <v>100241</v>
      </c>
      <c r="Z189" s="3" t="s">
        <v>314</v>
      </c>
      <c r="AA189" s="3">
        <v>100241</v>
      </c>
      <c r="AB189" s="3" t="s">
        <v>314</v>
      </c>
      <c r="AC189" s="4">
        <f ca="1">TODAY()-Open[[#This Row],[Status Date]]</f>
        <v>9</v>
      </c>
      <c r="AD189" s="3" t="s">
        <v>91</v>
      </c>
      <c r="AE189" t="str">
        <f t="shared" si="2"/>
        <v>Leah Pearson</v>
      </c>
      <c r="AF189" t="s">
        <v>1057</v>
      </c>
    </row>
    <row r="190" spans="1:32" x14ac:dyDescent="0.3">
      <c r="A190" s="3" t="s">
        <v>81</v>
      </c>
      <c r="B190" s="3" t="s">
        <v>82</v>
      </c>
      <c r="C190" s="3" t="s">
        <v>83</v>
      </c>
      <c r="D190" s="5">
        <v>46080</v>
      </c>
      <c r="E190" s="5">
        <v>46080</v>
      </c>
      <c r="F190" s="3" t="s">
        <v>67</v>
      </c>
      <c r="G190" s="3" t="s">
        <v>84</v>
      </c>
      <c r="H190" s="4">
        <v>112</v>
      </c>
      <c r="I190" s="4">
        <v>4438869</v>
      </c>
      <c r="J190" s="3" t="s">
        <v>968</v>
      </c>
      <c r="K190" s="3" t="s">
        <v>969</v>
      </c>
      <c r="L190" s="3" t="s">
        <v>970</v>
      </c>
      <c r="M190" s="5">
        <v>46062</v>
      </c>
      <c r="N190" s="3" t="s">
        <v>663</v>
      </c>
      <c r="O190" s="3" t="s">
        <v>664</v>
      </c>
      <c r="P190" s="3" t="s">
        <v>34</v>
      </c>
      <c r="Q190" s="6">
        <v>21053</v>
      </c>
      <c r="R190" s="6">
        <v>21053</v>
      </c>
      <c r="S190" s="5">
        <v>46188</v>
      </c>
      <c r="T190" s="3" t="s">
        <v>66</v>
      </c>
      <c r="U190" s="3" t="s">
        <v>79</v>
      </c>
      <c r="V190" s="3" t="s">
        <v>49</v>
      </c>
      <c r="W190" s="3" t="s">
        <v>80</v>
      </c>
      <c r="X190" s="3" t="s">
        <v>35</v>
      </c>
      <c r="Y190" s="3">
        <v>100271</v>
      </c>
      <c r="Z190" s="3" t="s">
        <v>318</v>
      </c>
      <c r="AA190" s="3">
        <v>100271</v>
      </c>
      <c r="AB190" s="3" t="s">
        <v>318</v>
      </c>
      <c r="AC190" s="4">
        <f ca="1">TODAY()-Open[[#This Row],[Status Date]]</f>
        <v>16</v>
      </c>
      <c r="AD190" s="3" t="s">
        <v>91</v>
      </c>
      <c r="AE190" t="str">
        <f t="shared" si="2"/>
        <v>Brooke Palmer</v>
      </c>
      <c r="AF190" t="s">
        <v>1055</v>
      </c>
    </row>
    <row r="191" spans="1:32" x14ac:dyDescent="0.3">
      <c r="A191" s="3" t="s">
        <v>81</v>
      </c>
      <c r="B191" s="3" t="s">
        <v>82</v>
      </c>
      <c r="C191" s="3" t="s">
        <v>83</v>
      </c>
      <c r="D191" s="5">
        <v>46080</v>
      </c>
      <c r="E191" s="5">
        <v>46181</v>
      </c>
      <c r="F191" s="3" t="s">
        <v>67</v>
      </c>
      <c r="G191" s="3" t="s">
        <v>84</v>
      </c>
      <c r="H191" s="4">
        <v>112</v>
      </c>
      <c r="I191" s="4">
        <v>4438737</v>
      </c>
      <c r="J191" s="3" t="s">
        <v>971</v>
      </c>
      <c r="K191" s="3" t="s">
        <v>972</v>
      </c>
      <c r="L191" s="3" t="s">
        <v>973</v>
      </c>
      <c r="M191" s="5">
        <v>46064</v>
      </c>
      <c r="N191" s="3" t="s">
        <v>663</v>
      </c>
      <c r="O191" s="3" t="s">
        <v>664</v>
      </c>
      <c r="P191" s="3" t="s">
        <v>46</v>
      </c>
      <c r="Q191" s="6">
        <v>214620</v>
      </c>
      <c r="R191" s="6">
        <v>2184840</v>
      </c>
      <c r="S191" s="5">
        <v>46188</v>
      </c>
      <c r="T191" s="3" t="s">
        <v>66</v>
      </c>
      <c r="U191" s="3" t="s">
        <v>79</v>
      </c>
      <c r="V191" s="3" t="s">
        <v>55</v>
      </c>
      <c r="W191" s="3" t="s">
        <v>32</v>
      </c>
      <c r="X191" s="3" t="s">
        <v>47</v>
      </c>
      <c r="Y191" s="3">
        <v>100281</v>
      </c>
      <c r="Z191" s="3" t="s">
        <v>322</v>
      </c>
      <c r="AA191" s="3">
        <v>100281</v>
      </c>
      <c r="AB191" s="3" t="s">
        <v>322</v>
      </c>
      <c r="AC191" s="4">
        <f ca="1">TODAY()-Open[[#This Row],[Status Date]]</f>
        <v>16</v>
      </c>
      <c r="AD191" s="3" t="s">
        <v>91</v>
      </c>
      <c r="AE191" t="str">
        <f t="shared" si="2"/>
        <v>Grace Whitaker</v>
      </c>
      <c r="AF191" t="s">
        <v>1059</v>
      </c>
    </row>
    <row r="192" spans="1:32" x14ac:dyDescent="0.3">
      <c r="A192" s="3" t="s">
        <v>81</v>
      </c>
      <c r="B192" s="3" t="s">
        <v>82</v>
      </c>
      <c r="C192" s="3" t="s">
        <v>83</v>
      </c>
      <c r="D192" s="5">
        <v>46080</v>
      </c>
      <c r="E192" s="5">
        <v>46114</v>
      </c>
      <c r="F192" s="3" t="s">
        <v>67</v>
      </c>
      <c r="G192" s="3" t="s">
        <v>84</v>
      </c>
      <c r="H192" s="4">
        <v>112</v>
      </c>
      <c r="I192" s="4">
        <v>4440127</v>
      </c>
      <c r="J192" s="3" t="s">
        <v>974</v>
      </c>
      <c r="K192" s="3" t="s">
        <v>975</v>
      </c>
      <c r="L192" s="3" t="s">
        <v>976</v>
      </c>
      <c r="M192" s="5">
        <v>46020</v>
      </c>
      <c r="N192" s="3" t="s">
        <v>977</v>
      </c>
      <c r="O192" s="3" t="s">
        <v>978</v>
      </c>
      <c r="P192" s="3" t="s">
        <v>34</v>
      </c>
      <c r="Q192" s="6">
        <v>276.91000000000003</v>
      </c>
      <c r="R192" s="6">
        <v>276.91000000000003</v>
      </c>
      <c r="S192" s="5">
        <v>46168</v>
      </c>
      <c r="T192" s="3" t="s">
        <v>66</v>
      </c>
      <c r="U192" s="3" t="s">
        <v>79</v>
      </c>
      <c r="V192" s="3" t="s">
        <v>55</v>
      </c>
      <c r="W192" s="3" t="s">
        <v>32</v>
      </c>
      <c r="X192" s="3" t="s">
        <v>35</v>
      </c>
      <c r="Y192" s="3">
        <v>100111</v>
      </c>
      <c r="Z192" s="3" t="s">
        <v>90</v>
      </c>
      <c r="AA192" s="3">
        <v>100111</v>
      </c>
      <c r="AB192" s="3" t="s">
        <v>90</v>
      </c>
      <c r="AC192" s="4">
        <f ca="1">TODAY()-Open[[#This Row],[Status Date]]</f>
        <v>36</v>
      </c>
      <c r="AD192" s="3" t="s">
        <v>91</v>
      </c>
      <c r="AE192" t="str">
        <f t="shared" si="2"/>
        <v>Andrew Ross</v>
      </c>
      <c r="AF192" t="s">
        <v>1055</v>
      </c>
    </row>
    <row r="193" spans="1:32" x14ac:dyDescent="0.3">
      <c r="A193" s="3" t="s">
        <v>81</v>
      </c>
      <c r="B193" s="3" t="s">
        <v>82</v>
      </c>
      <c r="C193" s="3" t="s">
        <v>83</v>
      </c>
      <c r="D193" s="5">
        <v>46086</v>
      </c>
      <c r="E193" s="5">
        <v>46099</v>
      </c>
      <c r="F193" s="3" t="s">
        <v>67</v>
      </c>
      <c r="G193" s="3" t="s">
        <v>84</v>
      </c>
      <c r="H193" s="4">
        <v>106</v>
      </c>
      <c r="I193" s="4">
        <v>4442984</v>
      </c>
      <c r="J193" s="3" t="s">
        <v>979</v>
      </c>
      <c r="K193" s="3" t="s">
        <v>980</v>
      </c>
      <c r="L193" s="3" t="s">
        <v>981</v>
      </c>
      <c r="M193" s="5">
        <v>45995</v>
      </c>
      <c r="N193" s="3" t="s">
        <v>836</v>
      </c>
      <c r="O193" s="3" t="s">
        <v>837</v>
      </c>
      <c r="P193" s="3" t="s">
        <v>44</v>
      </c>
      <c r="Q193" s="6">
        <v>136</v>
      </c>
      <c r="R193" s="6">
        <v>1007.95</v>
      </c>
      <c r="S193" s="5">
        <v>46091</v>
      </c>
      <c r="T193" s="3" t="s">
        <v>72</v>
      </c>
      <c r="U193" s="3" t="s">
        <v>112</v>
      </c>
      <c r="V193" s="3" t="s">
        <v>55</v>
      </c>
      <c r="W193" s="3" t="s">
        <v>32</v>
      </c>
      <c r="X193" s="3" t="s">
        <v>45</v>
      </c>
      <c r="Y193" s="3">
        <v>100141</v>
      </c>
      <c r="Z193" s="3" t="s">
        <v>123</v>
      </c>
      <c r="AA193" s="3">
        <v>100121</v>
      </c>
      <c r="AB193" s="3" t="s">
        <v>103</v>
      </c>
      <c r="AC193" s="4">
        <f ca="1">TODAY()-Open[[#This Row],[Status Date]]</f>
        <v>113</v>
      </c>
      <c r="AD193" s="3" t="s">
        <v>91</v>
      </c>
      <c r="AE193" t="str">
        <f t="shared" si="2"/>
        <v>Olivia Jenkins</v>
      </c>
      <c r="AF193" t="s">
        <v>1053</v>
      </c>
    </row>
    <row r="194" spans="1:32" x14ac:dyDescent="0.3">
      <c r="A194" s="3" t="s">
        <v>81</v>
      </c>
      <c r="B194" s="3" t="s">
        <v>82</v>
      </c>
      <c r="C194" s="3" t="s">
        <v>83</v>
      </c>
      <c r="D194" s="5">
        <v>46090</v>
      </c>
      <c r="E194" s="5">
        <v>46090</v>
      </c>
      <c r="F194" s="3" t="s">
        <v>67</v>
      </c>
      <c r="G194" s="3" t="s">
        <v>84</v>
      </c>
      <c r="H194" s="4">
        <v>102</v>
      </c>
      <c r="I194" s="4">
        <v>4444333</v>
      </c>
      <c r="J194" s="3" t="s">
        <v>982</v>
      </c>
      <c r="K194" s="3" t="s">
        <v>983</v>
      </c>
      <c r="L194" s="3" t="s">
        <v>984</v>
      </c>
      <c r="M194" s="5">
        <v>46066</v>
      </c>
      <c r="N194" s="3" t="s">
        <v>663</v>
      </c>
      <c r="O194" s="3" t="s">
        <v>664</v>
      </c>
      <c r="P194" s="3" t="s">
        <v>58</v>
      </c>
      <c r="Q194" s="6">
        <v>27522.81</v>
      </c>
      <c r="R194" s="6">
        <v>27522.81</v>
      </c>
      <c r="S194" s="5">
        <v>46188</v>
      </c>
      <c r="T194" s="3" t="s">
        <v>74</v>
      </c>
      <c r="U194" s="3" t="s">
        <v>75</v>
      </c>
      <c r="V194" s="3" t="s">
        <v>49</v>
      </c>
      <c r="W194" s="3" t="s">
        <v>80</v>
      </c>
      <c r="X194" s="3" t="s">
        <v>59</v>
      </c>
      <c r="Y194" s="3">
        <v>100171</v>
      </c>
      <c r="Z194" s="3" t="s">
        <v>102</v>
      </c>
      <c r="AA194" s="3">
        <v>100121</v>
      </c>
      <c r="AB194" s="3" t="s">
        <v>103</v>
      </c>
      <c r="AC194" s="4">
        <f ca="1">TODAY()-Open[[#This Row],[Status Date]]</f>
        <v>16</v>
      </c>
      <c r="AD194" s="3" t="s">
        <v>91</v>
      </c>
      <c r="AE194" t="str">
        <f t="shared" ref="AE194:AE257" si="3">AB194</f>
        <v>Olivia Jenkins</v>
      </c>
      <c r="AF194" t="s">
        <v>1062</v>
      </c>
    </row>
    <row r="195" spans="1:32" x14ac:dyDescent="0.3">
      <c r="A195" s="3" t="s">
        <v>81</v>
      </c>
      <c r="B195" s="3" t="s">
        <v>82</v>
      </c>
      <c r="C195" s="3" t="s">
        <v>83</v>
      </c>
      <c r="D195" s="5">
        <v>46090</v>
      </c>
      <c r="E195" s="5">
        <v>46090</v>
      </c>
      <c r="F195" s="3" t="s">
        <v>67</v>
      </c>
      <c r="G195" s="3" t="s">
        <v>84</v>
      </c>
      <c r="H195" s="4">
        <v>102</v>
      </c>
      <c r="I195" s="4">
        <v>4444203</v>
      </c>
      <c r="J195" s="3" t="s">
        <v>985</v>
      </c>
      <c r="K195" s="3" t="s">
        <v>986</v>
      </c>
      <c r="L195" s="3" t="s">
        <v>987</v>
      </c>
      <c r="M195" s="5">
        <v>46071</v>
      </c>
      <c r="N195" s="3" t="s">
        <v>663</v>
      </c>
      <c r="O195" s="3" t="s">
        <v>664</v>
      </c>
      <c r="P195" s="3" t="s">
        <v>34</v>
      </c>
      <c r="Q195" s="6">
        <v>549.72</v>
      </c>
      <c r="R195" s="6">
        <v>549.72</v>
      </c>
      <c r="S195" s="5">
        <v>46188</v>
      </c>
      <c r="T195" s="3" t="s">
        <v>66</v>
      </c>
      <c r="U195" s="3" t="s">
        <v>79</v>
      </c>
      <c r="V195" s="3" t="s">
        <v>49</v>
      </c>
      <c r="W195" s="3" t="s">
        <v>80</v>
      </c>
      <c r="X195" s="3" t="s">
        <v>35</v>
      </c>
      <c r="Y195" s="3">
        <v>100121</v>
      </c>
      <c r="Z195" s="3" t="s">
        <v>103</v>
      </c>
      <c r="AA195" s="3">
        <v>100121</v>
      </c>
      <c r="AB195" s="3" t="s">
        <v>103</v>
      </c>
      <c r="AC195" s="4">
        <f ca="1">TODAY()-Open[[#This Row],[Status Date]]</f>
        <v>16</v>
      </c>
      <c r="AD195" s="3" t="s">
        <v>91</v>
      </c>
      <c r="AE195" t="str">
        <f t="shared" si="3"/>
        <v>Olivia Jenkins</v>
      </c>
      <c r="AF195" t="s">
        <v>1055</v>
      </c>
    </row>
    <row r="196" spans="1:32" x14ac:dyDescent="0.3">
      <c r="A196" s="3" t="s">
        <v>81</v>
      </c>
      <c r="B196" s="3" t="s">
        <v>82</v>
      </c>
      <c r="C196" s="3" t="s">
        <v>83</v>
      </c>
      <c r="D196" s="5">
        <v>46090</v>
      </c>
      <c r="E196" s="5">
        <v>46090</v>
      </c>
      <c r="F196" s="3" t="s">
        <v>67</v>
      </c>
      <c r="G196" s="3" t="s">
        <v>84</v>
      </c>
      <c r="H196" s="4">
        <v>102</v>
      </c>
      <c r="I196" s="4">
        <v>4444313</v>
      </c>
      <c r="J196" s="3" t="s">
        <v>988</v>
      </c>
      <c r="K196" s="3" t="s">
        <v>989</v>
      </c>
      <c r="L196" s="3" t="s">
        <v>990</v>
      </c>
      <c r="M196" s="5">
        <v>46073</v>
      </c>
      <c r="N196" s="3" t="s">
        <v>663</v>
      </c>
      <c r="O196" s="3" t="s">
        <v>664</v>
      </c>
      <c r="P196" s="3" t="s">
        <v>34</v>
      </c>
      <c r="Q196" s="6">
        <v>21433.5</v>
      </c>
      <c r="R196" s="6">
        <v>21433.5</v>
      </c>
      <c r="S196" s="5">
        <v>46188</v>
      </c>
      <c r="T196" s="3" t="s">
        <v>66</v>
      </c>
      <c r="U196" s="3" t="s">
        <v>79</v>
      </c>
      <c r="V196" s="3" t="s">
        <v>49</v>
      </c>
      <c r="W196" s="3" t="s">
        <v>80</v>
      </c>
      <c r="X196" s="3" t="s">
        <v>35</v>
      </c>
      <c r="Y196" s="3">
        <v>100151</v>
      </c>
      <c r="Z196" s="3" t="s">
        <v>108</v>
      </c>
      <c r="AA196" s="3">
        <v>100151</v>
      </c>
      <c r="AB196" s="3" t="s">
        <v>108</v>
      </c>
      <c r="AC196" s="4">
        <f ca="1">TODAY()-Open[[#This Row],[Status Date]]</f>
        <v>16</v>
      </c>
      <c r="AD196" s="3" t="s">
        <v>91</v>
      </c>
      <c r="AE196" t="str">
        <f t="shared" si="3"/>
        <v>Mason Reynolds</v>
      </c>
      <c r="AF196" t="s">
        <v>1055</v>
      </c>
    </row>
    <row r="197" spans="1:32" x14ac:dyDescent="0.3">
      <c r="A197" s="3" t="s">
        <v>81</v>
      </c>
      <c r="B197" s="3" t="s">
        <v>82</v>
      </c>
      <c r="C197" s="3" t="s">
        <v>83</v>
      </c>
      <c r="D197" s="5">
        <v>46090</v>
      </c>
      <c r="E197" s="5">
        <v>46090</v>
      </c>
      <c r="F197" s="3" t="s">
        <v>67</v>
      </c>
      <c r="G197" s="3" t="s">
        <v>84</v>
      </c>
      <c r="H197" s="4">
        <v>102</v>
      </c>
      <c r="I197" s="4">
        <v>4444323</v>
      </c>
      <c r="J197" s="3" t="s">
        <v>991</v>
      </c>
      <c r="K197" s="3" t="s">
        <v>992</v>
      </c>
      <c r="L197" s="3" t="s">
        <v>993</v>
      </c>
      <c r="M197" s="5">
        <v>46073</v>
      </c>
      <c r="N197" s="3" t="s">
        <v>663</v>
      </c>
      <c r="O197" s="3" t="s">
        <v>664</v>
      </c>
      <c r="P197" s="3" t="s">
        <v>40</v>
      </c>
      <c r="Q197" s="6">
        <v>4438.5200000000004</v>
      </c>
      <c r="R197" s="6">
        <v>4438.5200000000004</v>
      </c>
      <c r="S197" s="5">
        <v>46188</v>
      </c>
      <c r="T197" s="3" t="s">
        <v>66</v>
      </c>
      <c r="U197" s="3" t="s">
        <v>79</v>
      </c>
      <c r="V197" s="3" t="s">
        <v>49</v>
      </c>
      <c r="W197" s="3" t="s">
        <v>80</v>
      </c>
      <c r="X197" s="3" t="s">
        <v>41</v>
      </c>
      <c r="Y197" s="3">
        <v>100161</v>
      </c>
      <c r="Z197" s="3" t="s">
        <v>132</v>
      </c>
      <c r="AA197" s="3">
        <v>100161</v>
      </c>
      <c r="AB197" s="3" t="s">
        <v>132</v>
      </c>
      <c r="AC197" s="4">
        <f ca="1">TODAY()-Open[[#This Row],[Status Date]]</f>
        <v>16</v>
      </c>
      <c r="AD197" s="3" t="s">
        <v>91</v>
      </c>
      <c r="AE197" t="str">
        <f t="shared" si="3"/>
        <v>Connor Bishop</v>
      </c>
      <c r="AF197" t="s">
        <v>1060</v>
      </c>
    </row>
    <row r="198" spans="1:32" x14ac:dyDescent="0.3">
      <c r="A198" s="3" t="s">
        <v>81</v>
      </c>
      <c r="B198" s="3" t="s">
        <v>82</v>
      </c>
      <c r="C198" s="3" t="s">
        <v>83</v>
      </c>
      <c r="D198" s="5">
        <v>46090</v>
      </c>
      <c r="E198" s="5">
        <v>46168</v>
      </c>
      <c r="F198" s="3" t="s">
        <v>67</v>
      </c>
      <c r="G198" s="3" t="s">
        <v>84</v>
      </c>
      <c r="H198" s="4">
        <v>102</v>
      </c>
      <c r="I198" s="4">
        <v>4445932</v>
      </c>
      <c r="J198" s="3" t="s">
        <v>994</v>
      </c>
      <c r="K198" s="3" t="s">
        <v>995</v>
      </c>
      <c r="L198" s="3" t="s">
        <v>996</v>
      </c>
      <c r="M198" s="5">
        <v>46072</v>
      </c>
      <c r="N198" s="3" t="s">
        <v>663</v>
      </c>
      <c r="O198" s="3" t="s">
        <v>664</v>
      </c>
      <c r="P198" s="3" t="s">
        <v>58</v>
      </c>
      <c r="Q198" s="6">
        <v>343.49</v>
      </c>
      <c r="R198" s="6">
        <v>36405.089999999997</v>
      </c>
      <c r="S198" s="5">
        <v>46188</v>
      </c>
      <c r="T198" s="3" t="s">
        <v>74</v>
      </c>
      <c r="U198" s="3" t="s">
        <v>75</v>
      </c>
      <c r="V198" s="3" t="s">
        <v>49</v>
      </c>
      <c r="W198" s="3" t="s">
        <v>80</v>
      </c>
      <c r="X198" s="3" t="s">
        <v>59</v>
      </c>
      <c r="Y198" s="3">
        <v>100211</v>
      </c>
      <c r="Z198" s="3" t="s">
        <v>107</v>
      </c>
      <c r="AA198" s="3">
        <v>100151</v>
      </c>
      <c r="AB198" s="3" t="s">
        <v>108</v>
      </c>
      <c r="AC198" s="4">
        <f ca="1">TODAY()-Open[[#This Row],[Status Date]]</f>
        <v>16</v>
      </c>
      <c r="AD198" s="3" t="s">
        <v>91</v>
      </c>
      <c r="AE198" t="str">
        <f t="shared" si="3"/>
        <v>Mason Reynolds</v>
      </c>
      <c r="AF198" t="s">
        <v>1062</v>
      </c>
    </row>
    <row r="199" spans="1:32" x14ac:dyDescent="0.3">
      <c r="A199" s="3" t="s">
        <v>81</v>
      </c>
      <c r="B199" s="3" t="s">
        <v>82</v>
      </c>
      <c r="C199" s="3" t="s">
        <v>83</v>
      </c>
      <c r="D199" s="5">
        <v>46093</v>
      </c>
      <c r="E199" s="5">
        <v>46175</v>
      </c>
      <c r="F199" s="3" t="s">
        <v>67</v>
      </c>
      <c r="G199" s="3" t="s">
        <v>84</v>
      </c>
      <c r="H199" s="4">
        <v>99</v>
      </c>
      <c r="I199" s="4">
        <v>4558091</v>
      </c>
      <c r="J199" s="3" t="s">
        <v>92</v>
      </c>
      <c r="K199" s="3" t="s">
        <v>93</v>
      </c>
      <c r="L199" s="3" t="s">
        <v>94</v>
      </c>
      <c r="M199" s="5">
        <v>46090</v>
      </c>
      <c r="N199" s="3" t="s">
        <v>997</v>
      </c>
      <c r="O199" s="3" t="s">
        <v>998</v>
      </c>
      <c r="P199" s="3" t="s">
        <v>62</v>
      </c>
      <c r="Q199" s="6">
        <v>1173.06</v>
      </c>
      <c r="R199" s="6">
        <v>1173.06</v>
      </c>
      <c r="S199" s="5">
        <v>46188</v>
      </c>
      <c r="T199" s="3" t="s">
        <v>72</v>
      </c>
      <c r="U199" s="3" t="s">
        <v>112</v>
      </c>
      <c r="V199" s="3" t="s">
        <v>55</v>
      </c>
      <c r="W199" s="3" t="s">
        <v>32</v>
      </c>
      <c r="X199" s="3" t="s">
        <v>63</v>
      </c>
      <c r="Y199" s="3">
        <v>100181</v>
      </c>
      <c r="Z199" s="3" t="s">
        <v>127</v>
      </c>
      <c r="AA199" s="3">
        <v>100151</v>
      </c>
      <c r="AB199" s="3" t="s">
        <v>108</v>
      </c>
      <c r="AC199" s="4">
        <f ca="1">TODAY()-Open[[#This Row],[Status Date]]</f>
        <v>16</v>
      </c>
      <c r="AD199" s="3" t="s">
        <v>91</v>
      </c>
      <c r="AE199" t="str">
        <f t="shared" si="3"/>
        <v>Mason Reynolds</v>
      </c>
      <c r="AF199" t="s">
        <v>1063</v>
      </c>
    </row>
    <row r="200" spans="1:32" x14ac:dyDescent="0.3">
      <c r="A200" s="3" t="s">
        <v>81</v>
      </c>
      <c r="B200" s="3" t="s">
        <v>82</v>
      </c>
      <c r="C200" s="3" t="s">
        <v>83</v>
      </c>
      <c r="D200" s="5">
        <v>46094</v>
      </c>
      <c r="E200" s="5">
        <v>46175</v>
      </c>
      <c r="F200" s="3" t="s">
        <v>67</v>
      </c>
      <c r="G200" s="3" t="s">
        <v>84</v>
      </c>
      <c r="H200" s="4">
        <v>98</v>
      </c>
      <c r="I200" s="4">
        <v>4560039</v>
      </c>
      <c r="J200" s="3" t="s">
        <v>114</v>
      </c>
      <c r="K200" s="3" t="s">
        <v>115</v>
      </c>
      <c r="L200" s="3" t="s">
        <v>116</v>
      </c>
      <c r="M200" s="5">
        <v>45965</v>
      </c>
      <c r="N200" s="3" t="s">
        <v>403</v>
      </c>
      <c r="O200" s="3" t="s">
        <v>404</v>
      </c>
      <c r="P200" s="3" t="s">
        <v>46</v>
      </c>
      <c r="Q200" s="6">
        <v>480</v>
      </c>
      <c r="R200" s="6">
        <v>480</v>
      </c>
      <c r="S200" s="5">
        <v>46188</v>
      </c>
      <c r="T200" s="3" t="s">
        <v>66</v>
      </c>
      <c r="U200" s="3" t="s">
        <v>79</v>
      </c>
      <c r="V200" s="3" t="s">
        <v>49</v>
      </c>
      <c r="W200" s="3" t="s">
        <v>80</v>
      </c>
      <c r="X200" s="3" t="s">
        <v>47</v>
      </c>
      <c r="Y200" s="3">
        <v>100191</v>
      </c>
      <c r="Z200" s="3" t="s">
        <v>137</v>
      </c>
      <c r="AA200" s="3">
        <v>100191</v>
      </c>
      <c r="AB200" s="3" t="s">
        <v>137</v>
      </c>
      <c r="AC200" s="4">
        <f ca="1">TODAY()-Open[[#This Row],[Status Date]]</f>
        <v>16</v>
      </c>
      <c r="AD200" s="3" t="s">
        <v>91</v>
      </c>
      <c r="AE200" t="str">
        <f t="shared" si="3"/>
        <v>Dominic Flores</v>
      </c>
      <c r="AF200" t="s">
        <v>1059</v>
      </c>
    </row>
    <row r="201" spans="1:32" x14ac:dyDescent="0.3">
      <c r="A201" s="3" t="s">
        <v>81</v>
      </c>
      <c r="B201" s="3" t="s">
        <v>82</v>
      </c>
      <c r="C201" s="3" t="s">
        <v>83</v>
      </c>
      <c r="D201" s="5">
        <v>46094</v>
      </c>
      <c r="E201" s="5">
        <v>46168</v>
      </c>
      <c r="F201" s="3" t="s">
        <v>67</v>
      </c>
      <c r="G201" s="3" t="s">
        <v>84</v>
      </c>
      <c r="H201" s="4">
        <v>98</v>
      </c>
      <c r="I201" s="4">
        <v>4560596</v>
      </c>
      <c r="J201" s="3" t="s">
        <v>117</v>
      </c>
      <c r="K201" s="3" t="s">
        <v>118</v>
      </c>
      <c r="L201" s="3" t="s">
        <v>119</v>
      </c>
      <c r="M201" s="5">
        <v>46079</v>
      </c>
      <c r="N201" s="3" t="s">
        <v>663</v>
      </c>
      <c r="O201" s="3" t="s">
        <v>664</v>
      </c>
      <c r="P201" s="3" t="s">
        <v>58</v>
      </c>
      <c r="Q201" s="6">
        <v>345.51</v>
      </c>
      <c r="R201" s="6">
        <v>28205.01</v>
      </c>
      <c r="S201" s="5">
        <v>46188</v>
      </c>
      <c r="T201" s="3" t="s">
        <v>74</v>
      </c>
      <c r="U201" s="3" t="s">
        <v>75</v>
      </c>
      <c r="V201" s="3" t="s">
        <v>49</v>
      </c>
      <c r="W201" s="3" t="s">
        <v>80</v>
      </c>
      <c r="X201" s="3" t="s">
        <v>59</v>
      </c>
      <c r="Y201" s="3">
        <v>100251</v>
      </c>
      <c r="Z201" s="3" t="s">
        <v>405</v>
      </c>
      <c r="AA201" s="3">
        <v>100161</v>
      </c>
      <c r="AB201" s="3" t="s">
        <v>132</v>
      </c>
      <c r="AC201" s="4">
        <f ca="1">TODAY()-Open[[#This Row],[Status Date]]</f>
        <v>16</v>
      </c>
      <c r="AD201" s="3" t="s">
        <v>91</v>
      </c>
      <c r="AE201" t="str">
        <f t="shared" si="3"/>
        <v>Connor Bishop</v>
      </c>
      <c r="AF201" t="s">
        <v>1062</v>
      </c>
    </row>
    <row r="202" spans="1:32" x14ac:dyDescent="0.3">
      <c r="A202" s="3" t="s">
        <v>81</v>
      </c>
      <c r="B202" s="3" t="s">
        <v>82</v>
      </c>
      <c r="C202" s="3" t="s">
        <v>83</v>
      </c>
      <c r="D202" s="5">
        <v>46098</v>
      </c>
      <c r="E202" s="5">
        <v>46098</v>
      </c>
      <c r="F202" s="3" t="s">
        <v>67</v>
      </c>
      <c r="G202" s="3" t="s">
        <v>84</v>
      </c>
      <c r="H202" s="4">
        <v>94</v>
      </c>
      <c r="I202" s="4">
        <v>4562266</v>
      </c>
      <c r="J202" s="3" t="s">
        <v>76</v>
      </c>
      <c r="K202" s="3" t="s">
        <v>77</v>
      </c>
      <c r="L202" s="3" t="s">
        <v>78</v>
      </c>
      <c r="M202" s="5">
        <v>46097</v>
      </c>
      <c r="N202" s="3" t="s">
        <v>663</v>
      </c>
      <c r="O202" s="3" t="s">
        <v>664</v>
      </c>
      <c r="P202" s="3" t="s">
        <v>44</v>
      </c>
      <c r="Q202" s="6">
        <v>23.88</v>
      </c>
      <c r="R202" s="6">
        <v>23.88</v>
      </c>
      <c r="S202" s="5">
        <v>46188</v>
      </c>
      <c r="T202" s="3" t="s">
        <v>72</v>
      </c>
      <c r="U202" s="3" t="s">
        <v>112</v>
      </c>
      <c r="V202" s="3" t="s">
        <v>55</v>
      </c>
      <c r="W202" s="3" t="s">
        <v>32</v>
      </c>
      <c r="X202" s="3" t="s">
        <v>45</v>
      </c>
      <c r="Y202" s="3">
        <v>100221</v>
      </c>
      <c r="Z202" s="3" t="s">
        <v>131</v>
      </c>
      <c r="AA202" s="3">
        <v>100161</v>
      </c>
      <c r="AB202" s="3" t="s">
        <v>132</v>
      </c>
      <c r="AC202" s="4">
        <f ca="1">TODAY()-Open[[#This Row],[Status Date]]</f>
        <v>16</v>
      </c>
      <c r="AD202" s="3" t="s">
        <v>91</v>
      </c>
      <c r="AE202" t="str">
        <f t="shared" si="3"/>
        <v>Connor Bishop</v>
      </c>
      <c r="AF202" t="s">
        <v>1053</v>
      </c>
    </row>
    <row r="203" spans="1:32" x14ac:dyDescent="0.3">
      <c r="A203" s="3" t="s">
        <v>81</v>
      </c>
      <c r="B203" s="3" t="s">
        <v>82</v>
      </c>
      <c r="C203" s="3" t="s">
        <v>83</v>
      </c>
      <c r="D203" s="5">
        <v>46101</v>
      </c>
      <c r="E203" s="5">
        <v>46101</v>
      </c>
      <c r="F203" s="3" t="s">
        <v>67</v>
      </c>
      <c r="G203" s="3" t="s">
        <v>84</v>
      </c>
      <c r="H203" s="4">
        <v>91</v>
      </c>
      <c r="I203" s="4">
        <v>4588703</v>
      </c>
      <c r="J203" s="3" t="s">
        <v>177</v>
      </c>
      <c r="K203" s="3" t="s">
        <v>178</v>
      </c>
      <c r="L203" s="3" t="s">
        <v>179</v>
      </c>
      <c r="M203" s="5">
        <v>46099</v>
      </c>
      <c r="N203" s="3" t="s">
        <v>88</v>
      </c>
      <c r="O203" s="3" t="s">
        <v>89</v>
      </c>
      <c r="P203" s="3" t="s">
        <v>44</v>
      </c>
      <c r="Q203" s="6">
        <v>1871.05</v>
      </c>
      <c r="R203" s="6">
        <v>1871.05</v>
      </c>
      <c r="S203" s="5">
        <v>46195</v>
      </c>
      <c r="T203" s="3" t="s">
        <v>72</v>
      </c>
      <c r="U203" s="3" t="s">
        <v>112</v>
      </c>
      <c r="V203" s="3" t="s">
        <v>55</v>
      </c>
      <c r="W203" s="3" t="s">
        <v>32</v>
      </c>
      <c r="X203" s="3" t="s">
        <v>45</v>
      </c>
      <c r="Y203" s="3">
        <v>100261</v>
      </c>
      <c r="Z203" s="3" t="s">
        <v>136</v>
      </c>
      <c r="AA203" s="3">
        <v>100191</v>
      </c>
      <c r="AB203" s="3" t="s">
        <v>137</v>
      </c>
      <c r="AC203" s="4">
        <f ca="1">TODAY()-Open[[#This Row],[Status Date]]</f>
        <v>9</v>
      </c>
      <c r="AD203" s="3" t="s">
        <v>91</v>
      </c>
      <c r="AE203" t="str">
        <f t="shared" si="3"/>
        <v>Dominic Flores</v>
      </c>
      <c r="AF203" t="s">
        <v>1053</v>
      </c>
    </row>
    <row r="204" spans="1:32" x14ac:dyDescent="0.3">
      <c r="A204" s="3" t="s">
        <v>81</v>
      </c>
      <c r="B204" s="3" t="s">
        <v>82</v>
      </c>
      <c r="C204" s="3" t="s">
        <v>83</v>
      </c>
      <c r="D204" s="5">
        <v>46113</v>
      </c>
      <c r="E204" s="5">
        <v>46113</v>
      </c>
      <c r="F204" s="3" t="s">
        <v>68</v>
      </c>
      <c r="G204" s="3" t="s">
        <v>84</v>
      </c>
      <c r="H204" s="4">
        <v>79</v>
      </c>
      <c r="I204" s="4">
        <v>4618479</v>
      </c>
      <c r="J204" s="3" t="s">
        <v>204</v>
      </c>
      <c r="K204" s="3" t="s">
        <v>205</v>
      </c>
      <c r="L204" s="3" t="s">
        <v>206</v>
      </c>
      <c r="M204" s="5">
        <v>46083</v>
      </c>
      <c r="N204" s="3" t="s">
        <v>663</v>
      </c>
      <c r="O204" s="3" t="s">
        <v>664</v>
      </c>
      <c r="P204" s="3" t="s">
        <v>40</v>
      </c>
      <c r="Q204" s="6">
        <v>307659.39</v>
      </c>
      <c r="R204" s="6">
        <v>307659.39</v>
      </c>
      <c r="S204" s="5">
        <v>46188</v>
      </c>
      <c r="T204" s="3" t="s">
        <v>66</v>
      </c>
      <c r="U204" s="3" t="s">
        <v>79</v>
      </c>
      <c r="V204" s="3" t="s">
        <v>49</v>
      </c>
      <c r="W204" s="3" t="s">
        <v>80</v>
      </c>
      <c r="X204" s="3" t="s">
        <v>41</v>
      </c>
      <c r="Y204" s="3">
        <v>100201</v>
      </c>
      <c r="Z204" s="3" t="s">
        <v>306</v>
      </c>
      <c r="AA204" s="3">
        <v>100201</v>
      </c>
      <c r="AB204" s="3" t="s">
        <v>306</v>
      </c>
      <c r="AC204" s="4">
        <f ca="1">TODAY()-Open[[#This Row],[Status Date]]</f>
        <v>16</v>
      </c>
      <c r="AD204" s="3" t="s">
        <v>91</v>
      </c>
      <c r="AE204" t="str">
        <f t="shared" si="3"/>
        <v>Aiden Harper</v>
      </c>
      <c r="AF204" t="s">
        <v>1060</v>
      </c>
    </row>
    <row r="205" spans="1:32" x14ac:dyDescent="0.3">
      <c r="A205" s="3" t="s">
        <v>81</v>
      </c>
      <c r="B205" s="3" t="s">
        <v>82</v>
      </c>
      <c r="C205" s="3" t="s">
        <v>83</v>
      </c>
      <c r="D205" s="5">
        <v>46113</v>
      </c>
      <c r="E205" s="5">
        <v>46113</v>
      </c>
      <c r="F205" s="3" t="s">
        <v>68</v>
      </c>
      <c r="G205" s="3" t="s">
        <v>84</v>
      </c>
      <c r="H205" s="4">
        <v>79</v>
      </c>
      <c r="I205" s="4">
        <v>4618757</v>
      </c>
      <c r="J205" s="3" t="s">
        <v>207</v>
      </c>
      <c r="K205" s="3" t="s">
        <v>208</v>
      </c>
      <c r="L205" s="3" t="s">
        <v>209</v>
      </c>
      <c r="M205" s="5">
        <v>46084</v>
      </c>
      <c r="N205" s="3" t="s">
        <v>663</v>
      </c>
      <c r="O205" s="3" t="s">
        <v>664</v>
      </c>
      <c r="P205" s="3" t="s">
        <v>40</v>
      </c>
      <c r="Q205" s="6">
        <v>42840</v>
      </c>
      <c r="R205" s="6">
        <v>42840</v>
      </c>
      <c r="S205" s="5">
        <v>46188</v>
      </c>
      <c r="T205" s="3" t="s">
        <v>66</v>
      </c>
      <c r="U205" s="3" t="s">
        <v>79</v>
      </c>
      <c r="V205" s="3" t="s">
        <v>49</v>
      </c>
      <c r="W205" s="3" t="s">
        <v>80</v>
      </c>
      <c r="X205" s="3" t="s">
        <v>41</v>
      </c>
      <c r="Y205" s="3">
        <v>100231</v>
      </c>
      <c r="Z205" s="3" t="s">
        <v>310</v>
      </c>
      <c r="AA205" s="3">
        <v>100231</v>
      </c>
      <c r="AB205" s="3" t="s">
        <v>310</v>
      </c>
      <c r="AC205" s="4">
        <f ca="1">TODAY()-Open[[#This Row],[Status Date]]</f>
        <v>16</v>
      </c>
      <c r="AD205" s="3" t="s">
        <v>91</v>
      </c>
      <c r="AE205" t="str">
        <f t="shared" si="3"/>
        <v>Jackson Norris</v>
      </c>
      <c r="AF205" t="s">
        <v>1060</v>
      </c>
    </row>
    <row r="206" spans="1:32" x14ac:dyDescent="0.3">
      <c r="A206" s="3" t="s">
        <v>81</v>
      </c>
      <c r="B206" s="3" t="s">
        <v>82</v>
      </c>
      <c r="C206" s="3" t="s">
        <v>83</v>
      </c>
      <c r="D206" s="5">
        <v>46113</v>
      </c>
      <c r="E206" s="5">
        <v>46113</v>
      </c>
      <c r="F206" s="3" t="s">
        <v>68</v>
      </c>
      <c r="G206" s="3" t="s">
        <v>84</v>
      </c>
      <c r="H206" s="4">
        <v>79</v>
      </c>
      <c r="I206" s="4">
        <v>4619036</v>
      </c>
      <c r="J206" s="3" t="s">
        <v>210</v>
      </c>
      <c r="K206" s="3" t="s">
        <v>211</v>
      </c>
      <c r="L206" s="3" t="s">
        <v>212</v>
      </c>
      <c r="M206" s="5">
        <v>46084</v>
      </c>
      <c r="N206" s="3" t="s">
        <v>663</v>
      </c>
      <c r="O206" s="3" t="s">
        <v>664</v>
      </c>
      <c r="P206" s="3" t="s">
        <v>40</v>
      </c>
      <c r="Q206" s="6">
        <v>14280</v>
      </c>
      <c r="R206" s="6">
        <v>14280</v>
      </c>
      <c r="S206" s="5">
        <v>46188</v>
      </c>
      <c r="T206" s="3" t="s">
        <v>66</v>
      </c>
      <c r="U206" s="3" t="s">
        <v>79</v>
      </c>
      <c r="V206" s="3" t="s">
        <v>49</v>
      </c>
      <c r="W206" s="3" t="s">
        <v>80</v>
      </c>
      <c r="X206" s="3" t="s">
        <v>41</v>
      </c>
      <c r="Y206" s="3">
        <v>100241</v>
      </c>
      <c r="Z206" s="3" t="s">
        <v>314</v>
      </c>
      <c r="AA206" s="3">
        <v>100241</v>
      </c>
      <c r="AB206" s="3" t="s">
        <v>314</v>
      </c>
      <c r="AC206" s="4">
        <f ca="1">TODAY()-Open[[#This Row],[Status Date]]</f>
        <v>16</v>
      </c>
      <c r="AD206" s="3" t="s">
        <v>91</v>
      </c>
      <c r="AE206" t="str">
        <f t="shared" si="3"/>
        <v>Leah Pearson</v>
      </c>
      <c r="AF206" t="s">
        <v>1060</v>
      </c>
    </row>
    <row r="207" spans="1:32" x14ac:dyDescent="0.3">
      <c r="A207" s="3" t="s">
        <v>81</v>
      </c>
      <c r="B207" s="3" t="s">
        <v>82</v>
      </c>
      <c r="C207" s="3" t="s">
        <v>83</v>
      </c>
      <c r="D207" s="5">
        <v>46113</v>
      </c>
      <c r="E207" s="5">
        <v>46113</v>
      </c>
      <c r="F207" s="3" t="s">
        <v>68</v>
      </c>
      <c r="G207" s="3" t="s">
        <v>84</v>
      </c>
      <c r="H207" s="4">
        <v>79</v>
      </c>
      <c r="I207" s="4">
        <v>4619314</v>
      </c>
      <c r="J207" s="3" t="s">
        <v>213</v>
      </c>
      <c r="K207" s="3" t="s">
        <v>214</v>
      </c>
      <c r="L207" s="3" t="s">
        <v>215</v>
      </c>
      <c r="M207" s="5">
        <v>46084</v>
      </c>
      <c r="N207" s="3" t="s">
        <v>663</v>
      </c>
      <c r="O207" s="3" t="s">
        <v>664</v>
      </c>
      <c r="P207" s="3" t="s">
        <v>40</v>
      </c>
      <c r="Q207" s="6">
        <v>39270</v>
      </c>
      <c r="R207" s="6">
        <v>39270</v>
      </c>
      <c r="S207" s="5">
        <v>46188</v>
      </c>
      <c r="T207" s="3" t="s">
        <v>66</v>
      </c>
      <c r="U207" s="3" t="s">
        <v>79</v>
      </c>
      <c r="V207" s="3" t="s">
        <v>49</v>
      </c>
      <c r="W207" s="3" t="s">
        <v>80</v>
      </c>
      <c r="X207" s="3" t="s">
        <v>41</v>
      </c>
      <c r="Y207" s="3">
        <v>100271</v>
      </c>
      <c r="Z207" s="3" t="s">
        <v>318</v>
      </c>
      <c r="AA207" s="3">
        <v>100271</v>
      </c>
      <c r="AB207" s="3" t="s">
        <v>318</v>
      </c>
      <c r="AC207" s="4">
        <f ca="1">TODAY()-Open[[#This Row],[Status Date]]</f>
        <v>16</v>
      </c>
      <c r="AD207" s="3" t="s">
        <v>91</v>
      </c>
      <c r="AE207" t="str">
        <f t="shared" si="3"/>
        <v>Brooke Palmer</v>
      </c>
      <c r="AF207" t="s">
        <v>1060</v>
      </c>
    </row>
    <row r="208" spans="1:32" x14ac:dyDescent="0.3">
      <c r="A208" s="3" t="s">
        <v>81</v>
      </c>
      <c r="B208" s="3" t="s">
        <v>82</v>
      </c>
      <c r="C208" s="3" t="s">
        <v>83</v>
      </c>
      <c r="D208" s="5">
        <v>46118</v>
      </c>
      <c r="E208" s="5">
        <v>46191</v>
      </c>
      <c r="F208" s="3" t="s">
        <v>68</v>
      </c>
      <c r="G208" s="3" t="s">
        <v>84</v>
      </c>
      <c r="H208" s="4">
        <v>74</v>
      </c>
      <c r="I208" s="4">
        <v>4624601</v>
      </c>
      <c r="J208" s="3" t="s">
        <v>225</v>
      </c>
      <c r="K208" s="3" t="s">
        <v>226</v>
      </c>
      <c r="L208" s="3" t="s">
        <v>227</v>
      </c>
      <c r="M208" s="5">
        <v>46009</v>
      </c>
      <c r="N208" s="3" t="s">
        <v>999</v>
      </c>
      <c r="O208" s="3" t="s">
        <v>1000</v>
      </c>
      <c r="P208" s="3" t="s">
        <v>70</v>
      </c>
      <c r="Q208" s="6">
        <v>17889.060000000001</v>
      </c>
      <c r="R208" s="6">
        <v>17889.060000000001</v>
      </c>
      <c r="S208" s="5">
        <v>46191</v>
      </c>
      <c r="T208" s="3" t="s">
        <v>74</v>
      </c>
      <c r="U208" s="3" t="s">
        <v>75</v>
      </c>
      <c r="V208" s="3" t="s">
        <v>55</v>
      </c>
      <c r="W208" s="3" t="s">
        <v>32</v>
      </c>
      <c r="X208" s="3" t="s">
        <v>71</v>
      </c>
      <c r="Y208" s="3">
        <v>100131</v>
      </c>
      <c r="Z208" s="3" t="s">
        <v>98</v>
      </c>
      <c r="AA208" s="3">
        <v>100111</v>
      </c>
      <c r="AB208" s="3" t="s">
        <v>90</v>
      </c>
      <c r="AC208" s="4">
        <f ca="1">TODAY()-Open[[#This Row],[Status Date]]</f>
        <v>13</v>
      </c>
      <c r="AD208" s="3" t="s">
        <v>91</v>
      </c>
      <c r="AE208" t="str">
        <f t="shared" si="3"/>
        <v>Andrew Ross</v>
      </c>
      <c r="AF208" t="s">
        <v>1064</v>
      </c>
    </row>
    <row r="209" spans="1:32" x14ac:dyDescent="0.3">
      <c r="A209" s="3" t="s">
        <v>81</v>
      </c>
      <c r="B209" s="3" t="s">
        <v>82</v>
      </c>
      <c r="C209" s="3" t="s">
        <v>83</v>
      </c>
      <c r="D209" s="5">
        <v>46118</v>
      </c>
      <c r="E209" s="5">
        <v>46191</v>
      </c>
      <c r="F209" s="3" t="s">
        <v>68</v>
      </c>
      <c r="G209" s="3" t="s">
        <v>84</v>
      </c>
      <c r="H209" s="4">
        <v>74</v>
      </c>
      <c r="I209" s="4">
        <v>4624880</v>
      </c>
      <c r="J209" s="3" t="s">
        <v>228</v>
      </c>
      <c r="K209" s="3" t="s">
        <v>229</v>
      </c>
      <c r="L209" s="3" t="s">
        <v>230</v>
      </c>
      <c r="M209" s="5">
        <v>46022</v>
      </c>
      <c r="N209" s="3" t="s">
        <v>999</v>
      </c>
      <c r="O209" s="3" t="s">
        <v>1000</v>
      </c>
      <c r="P209" s="3" t="s">
        <v>70</v>
      </c>
      <c r="Q209" s="6">
        <v>915.09</v>
      </c>
      <c r="R209" s="6">
        <v>915.09</v>
      </c>
      <c r="S209" s="5">
        <v>46191</v>
      </c>
      <c r="T209" s="3" t="s">
        <v>74</v>
      </c>
      <c r="U209" s="3" t="s">
        <v>75</v>
      </c>
      <c r="V209" s="3" t="s">
        <v>55</v>
      </c>
      <c r="W209" s="3" t="s">
        <v>32</v>
      </c>
      <c r="X209" s="3" t="s">
        <v>71</v>
      </c>
      <c r="Y209" s="3">
        <v>100171</v>
      </c>
      <c r="Z209" s="3" t="s">
        <v>102</v>
      </c>
      <c r="AA209" s="3">
        <v>100121</v>
      </c>
      <c r="AB209" s="3" t="s">
        <v>103</v>
      </c>
      <c r="AC209" s="4">
        <f ca="1">TODAY()-Open[[#This Row],[Status Date]]</f>
        <v>13</v>
      </c>
      <c r="AD209" s="3" t="s">
        <v>91</v>
      </c>
      <c r="AE209" t="str">
        <f t="shared" si="3"/>
        <v>Olivia Jenkins</v>
      </c>
      <c r="AF209" t="s">
        <v>1064</v>
      </c>
    </row>
    <row r="210" spans="1:32" x14ac:dyDescent="0.3">
      <c r="A210" s="3" t="s">
        <v>81</v>
      </c>
      <c r="B210" s="3" t="s">
        <v>82</v>
      </c>
      <c r="C210" s="3" t="s">
        <v>83</v>
      </c>
      <c r="D210" s="5">
        <v>46123</v>
      </c>
      <c r="E210" s="5">
        <v>46128</v>
      </c>
      <c r="F210" s="3" t="s">
        <v>68</v>
      </c>
      <c r="G210" s="3" t="s">
        <v>84</v>
      </c>
      <c r="H210" s="4">
        <v>69</v>
      </c>
      <c r="I210" s="4">
        <v>4639629</v>
      </c>
      <c r="J210" s="3" t="s">
        <v>243</v>
      </c>
      <c r="K210" s="3" t="s">
        <v>244</v>
      </c>
      <c r="L210" s="3" t="s">
        <v>245</v>
      </c>
      <c r="M210" s="5">
        <v>46090</v>
      </c>
      <c r="N210" s="3" t="s">
        <v>88</v>
      </c>
      <c r="O210" s="3" t="s">
        <v>89</v>
      </c>
      <c r="P210" s="3" t="s">
        <v>44</v>
      </c>
      <c r="Q210" s="6">
        <v>25.05</v>
      </c>
      <c r="R210" s="6">
        <v>2260.0500000000002</v>
      </c>
      <c r="S210" s="5">
        <v>46195</v>
      </c>
      <c r="T210" s="3" t="s">
        <v>72</v>
      </c>
      <c r="U210" s="3" t="s">
        <v>112</v>
      </c>
      <c r="V210" s="3" t="s">
        <v>55</v>
      </c>
      <c r="W210" s="3" t="s">
        <v>32</v>
      </c>
      <c r="X210" s="3" t="s">
        <v>45</v>
      </c>
      <c r="Y210" s="3">
        <v>100101</v>
      </c>
      <c r="Z210" s="3" t="s">
        <v>113</v>
      </c>
      <c r="AA210" s="3">
        <v>100111</v>
      </c>
      <c r="AB210" s="3" t="s">
        <v>90</v>
      </c>
      <c r="AC210" s="4">
        <f ca="1">TODAY()-Open[[#This Row],[Status Date]]</f>
        <v>9</v>
      </c>
      <c r="AD210" s="3" t="s">
        <v>91</v>
      </c>
      <c r="AE210" t="str">
        <f t="shared" si="3"/>
        <v>Andrew Ross</v>
      </c>
      <c r="AF210" t="s">
        <v>1053</v>
      </c>
    </row>
    <row r="211" spans="1:32" x14ac:dyDescent="0.3">
      <c r="A211" s="3" t="s">
        <v>81</v>
      </c>
      <c r="B211" s="3" t="s">
        <v>82</v>
      </c>
      <c r="C211" s="3" t="s">
        <v>83</v>
      </c>
      <c r="D211" s="5">
        <v>46125</v>
      </c>
      <c r="E211" s="5">
        <v>46125</v>
      </c>
      <c r="F211" s="3" t="s">
        <v>68</v>
      </c>
      <c r="G211" s="3" t="s">
        <v>84</v>
      </c>
      <c r="H211" s="4">
        <v>67</v>
      </c>
      <c r="I211" s="4">
        <v>4640463</v>
      </c>
      <c r="J211" s="3" t="s">
        <v>246</v>
      </c>
      <c r="K211" s="3" t="s">
        <v>247</v>
      </c>
      <c r="L211" s="3" t="s">
        <v>248</v>
      </c>
      <c r="M211" s="5">
        <v>46084</v>
      </c>
      <c r="N211" s="3" t="s">
        <v>663</v>
      </c>
      <c r="O211" s="3" t="s">
        <v>664</v>
      </c>
      <c r="P211" s="3" t="s">
        <v>40</v>
      </c>
      <c r="Q211" s="6">
        <v>3570</v>
      </c>
      <c r="R211" s="6">
        <v>3570</v>
      </c>
      <c r="S211" s="5">
        <v>46188</v>
      </c>
      <c r="T211" s="3" t="s">
        <v>66</v>
      </c>
      <c r="U211" s="3" t="s">
        <v>79</v>
      </c>
      <c r="V211" s="3" t="s">
        <v>49</v>
      </c>
      <c r="W211" s="3" t="s">
        <v>80</v>
      </c>
      <c r="X211" s="3" t="s">
        <v>41</v>
      </c>
      <c r="Y211" s="3">
        <v>100281</v>
      </c>
      <c r="Z211" s="3" t="s">
        <v>322</v>
      </c>
      <c r="AA211" s="3">
        <v>100281</v>
      </c>
      <c r="AB211" s="3" t="s">
        <v>322</v>
      </c>
      <c r="AC211" s="4">
        <f ca="1">TODAY()-Open[[#This Row],[Status Date]]</f>
        <v>16</v>
      </c>
      <c r="AD211" s="3" t="s">
        <v>91</v>
      </c>
      <c r="AE211" t="str">
        <f t="shared" si="3"/>
        <v>Grace Whitaker</v>
      </c>
      <c r="AF211" t="s">
        <v>1060</v>
      </c>
    </row>
    <row r="212" spans="1:32" x14ac:dyDescent="0.3">
      <c r="A212" s="3" t="s">
        <v>81</v>
      </c>
      <c r="B212" s="3" t="s">
        <v>82</v>
      </c>
      <c r="C212" s="3" t="s">
        <v>83</v>
      </c>
      <c r="D212" s="5">
        <v>46125</v>
      </c>
      <c r="E212" s="5">
        <v>46125</v>
      </c>
      <c r="F212" s="3" t="s">
        <v>68</v>
      </c>
      <c r="G212" s="3" t="s">
        <v>84</v>
      </c>
      <c r="H212" s="4">
        <v>67</v>
      </c>
      <c r="I212" s="4">
        <v>4640742</v>
      </c>
      <c r="J212" s="3" t="s">
        <v>249</v>
      </c>
      <c r="K212" s="3" t="s">
        <v>250</v>
      </c>
      <c r="L212" s="3" t="s">
        <v>251</v>
      </c>
      <c r="M212" s="5">
        <v>46084</v>
      </c>
      <c r="N212" s="3" t="s">
        <v>663</v>
      </c>
      <c r="O212" s="3" t="s">
        <v>664</v>
      </c>
      <c r="P212" s="3" t="s">
        <v>40</v>
      </c>
      <c r="Q212" s="6">
        <v>3570</v>
      </c>
      <c r="R212" s="6">
        <v>3570</v>
      </c>
      <c r="S212" s="5">
        <v>46188</v>
      </c>
      <c r="T212" s="3" t="s">
        <v>66</v>
      </c>
      <c r="U212" s="3" t="s">
        <v>79</v>
      </c>
      <c r="V212" s="3" t="s">
        <v>49</v>
      </c>
      <c r="W212" s="3" t="s">
        <v>80</v>
      </c>
      <c r="X212" s="3" t="s">
        <v>41</v>
      </c>
      <c r="Y212" s="3">
        <v>100111</v>
      </c>
      <c r="Z212" s="3" t="s">
        <v>90</v>
      </c>
      <c r="AA212" s="3">
        <v>100111</v>
      </c>
      <c r="AB212" s="3" t="s">
        <v>90</v>
      </c>
      <c r="AC212" s="4">
        <f ca="1">TODAY()-Open[[#This Row],[Status Date]]</f>
        <v>16</v>
      </c>
      <c r="AD212" s="3" t="s">
        <v>91</v>
      </c>
      <c r="AE212" t="str">
        <f t="shared" si="3"/>
        <v>Andrew Ross</v>
      </c>
      <c r="AF212" t="s">
        <v>1060</v>
      </c>
    </row>
    <row r="213" spans="1:32" x14ac:dyDescent="0.3">
      <c r="A213" s="3" t="s">
        <v>81</v>
      </c>
      <c r="B213" s="3" t="s">
        <v>82</v>
      </c>
      <c r="C213" s="3" t="s">
        <v>83</v>
      </c>
      <c r="D213" s="5">
        <v>46125</v>
      </c>
      <c r="E213" s="5">
        <v>46125</v>
      </c>
      <c r="F213" s="3" t="s">
        <v>68</v>
      </c>
      <c r="G213" s="3" t="s">
        <v>84</v>
      </c>
      <c r="H213" s="4">
        <v>67</v>
      </c>
      <c r="I213" s="4">
        <v>4641020</v>
      </c>
      <c r="J213" s="3" t="s">
        <v>252</v>
      </c>
      <c r="K213" s="3" t="s">
        <v>253</v>
      </c>
      <c r="L213" s="3" t="s">
        <v>254</v>
      </c>
      <c r="M213" s="5">
        <v>46084</v>
      </c>
      <c r="N213" s="3" t="s">
        <v>663</v>
      </c>
      <c r="O213" s="3" t="s">
        <v>664</v>
      </c>
      <c r="P213" s="3" t="s">
        <v>40</v>
      </c>
      <c r="Q213" s="6">
        <v>21420</v>
      </c>
      <c r="R213" s="6">
        <v>21420</v>
      </c>
      <c r="S213" s="5">
        <v>46188</v>
      </c>
      <c r="T213" s="3" t="s">
        <v>66</v>
      </c>
      <c r="U213" s="3" t="s">
        <v>79</v>
      </c>
      <c r="V213" s="3" t="s">
        <v>49</v>
      </c>
      <c r="W213" s="3" t="s">
        <v>80</v>
      </c>
      <c r="X213" s="3" t="s">
        <v>41</v>
      </c>
      <c r="Y213" s="3">
        <v>100121</v>
      </c>
      <c r="Z213" s="3" t="s">
        <v>103</v>
      </c>
      <c r="AA213" s="3">
        <v>100121</v>
      </c>
      <c r="AB213" s="3" t="s">
        <v>103</v>
      </c>
      <c r="AC213" s="4">
        <f ca="1">TODAY()-Open[[#This Row],[Status Date]]</f>
        <v>16</v>
      </c>
      <c r="AD213" s="3" t="s">
        <v>91</v>
      </c>
      <c r="AE213" t="str">
        <f t="shared" si="3"/>
        <v>Olivia Jenkins</v>
      </c>
      <c r="AF213" t="s">
        <v>1060</v>
      </c>
    </row>
    <row r="214" spans="1:32" x14ac:dyDescent="0.3">
      <c r="A214" s="3" t="s">
        <v>81</v>
      </c>
      <c r="B214" s="3" t="s">
        <v>82</v>
      </c>
      <c r="C214" s="3" t="s">
        <v>83</v>
      </c>
      <c r="D214" s="5">
        <v>46125</v>
      </c>
      <c r="E214" s="5">
        <v>46125</v>
      </c>
      <c r="F214" s="3" t="s">
        <v>68</v>
      </c>
      <c r="G214" s="3" t="s">
        <v>84</v>
      </c>
      <c r="H214" s="4">
        <v>67</v>
      </c>
      <c r="I214" s="4">
        <v>4641298</v>
      </c>
      <c r="J214" s="3" t="s">
        <v>255</v>
      </c>
      <c r="K214" s="3" t="s">
        <v>256</v>
      </c>
      <c r="L214" s="3" t="s">
        <v>257</v>
      </c>
      <c r="M214" s="5">
        <v>46084</v>
      </c>
      <c r="N214" s="3" t="s">
        <v>663</v>
      </c>
      <c r="O214" s="3" t="s">
        <v>664</v>
      </c>
      <c r="P214" s="3" t="s">
        <v>34</v>
      </c>
      <c r="Q214" s="6">
        <v>21420</v>
      </c>
      <c r="R214" s="6">
        <v>21420</v>
      </c>
      <c r="S214" s="5">
        <v>46188</v>
      </c>
      <c r="T214" s="3" t="s">
        <v>66</v>
      </c>
      <c r="U214" s="3" t="s">
        <v>79</v>
      </c>
      <c r="V214" s="3" t="s">
        <v>49</v>
      </c>
      <c r="W214" s="3" t="s">
        <v>80</v>
      </c>
      <c r="X214" s="3" t="s">
        <v>35</v>
      </c>
      <c r="Y214" s="3">
        <v>100151</v>
      </c>
      <c r="Z214" s="3" t="s">
        <v>108</v>
      </c>
      <c r="AA214" s="3">
        <v>100151</v>
      </c>
      <c r="AB214" s="3" t="s">
        <v>108</v>
      </c>
      <c r="AC214" s="4">
        <f ca="1">TODAY()-Open[[#This Row],[Status Date]]</f>
        <v>16</v>
      </c>
      <c r="AD214" s="3" t="s">
        <v>91</v>
      </c>
      <c r="AE214" t="str">
        <f t="shared" si="3"/>
        <v>Mason Reynolds</v>
      </c>
      <c r="AF214" t="s">
        <v>1055</v>
      </c>
    </row>
    <row r="215" spans="1:32" x14ac:dyDescent="0.3">
      <c r="A215" s="3" t="s">
        <v>81</v>
      </c>
      <c r="B215" s="3" t="s">
        <v>82</v>
      </c>
      <c r="C215" s="3" t="s">
        <v>83</v>
      </c>
      <c r="D215" s="5">
        <v>46125</v>
      </c>
      <c r="E215" s="5">
        <v>46125</v>
      </c>
      <c r="F215" s="3" t="s">
        <v>68</v>
      </c>
      <c r="G215" s="3" t="s">
        <v>84</v>
      </c>
      <c r="H215" s="4">
        <v>67</v>
      </c>
      <c r="I215" s="4">
        <v>4641577</v>
      </c>
      <c r="J215" s="3" t="s">
        <v>258</v>
      </c>
      <c r="K215" s="3" t="s">
        <v>259</v>
      </c>
      <c r="L215" s="3" t="s">
        <v>260</v>
      </c>
      <c r="M215" s="5">
        <v>46084</v>
      </c>
      <c r="N215" s="3" t="s">
        <v>663</v>
      </c>
      <c r="O215" s="3" t="s">
        <v>664</v>
      </c>
      <c r="P215" s="3" t="s">
        <v>40</v>
      </c>
      <c r="Q215" s="6">
        <v>3570</v>
      </c>
      <c r="R215" s="6">
        <v>3570</v>
      </c>
      <c r="S215" s="5">
        <v>46188</v>
      </c>
      <c r="T215" s="3" t="s">
        <v>66</v>
      </c>
      <c r="U215" s="3" t="s">
        <v>79</v>
      </c>
      <c r="V215" s="3" t="s">
        <v>49</v>
      </c>
      <c r="W215" s="3" t="s">
        <v>80</v>
      </c>
      <c r="X215" s="3" t="s">
        <v>41</v>
      </c>
      <c r="Y215" s="3">
        <v>100161</v>
      </c>
      <c r="Z215" s="3" t="s">
        <v>132</v>
      </c>
      <c r="AA215" s="3">
        <v>100161</v>
      </c>
      <c r="AB215" s="3" t="s">
        <v>132</v>
      </c>
      <c r="AC215" s="4">
        <f ca="1">TODAY()-Open[[#This Row],[Status Date]]</f>
        <v>16</v>
      </c>
      <c r="AD215" s="3" t="s">
        <v>91</v>
      </c>
      <c r="AE215" t="str">
        <f t="shared" si="3"/>
        <v>Connor Bishop</v>
      </c>
      <c r="AF215" t="s">
        <v>1060</v>
      </c>
    </row>
    <row r="216" spans="1:32" x14ac:dyDescent="0.3">
      <c r="A216" s="3" t="s">
        <v>81</v>
      </c>
      <c r="B216" s="3" t="s">
        <v>82</v>
      </c>
      <c r="C216" s="3" t="s">
        <v>83</v>
      </c>
      <c r="D216" s="5">
        <v>46125</v>
      </c>
      <c r="E216" s="5">
        <v>46125</v>
      </c>
      <c r="F216" s="3" t="s">
        <v>68</v>
      </c>
      <c r="G216" s="3" t="s">
        <v>84</v>
      </c>
      <c r="H216" s="4">
        <v>67</v>
      </c>
      <c r="I216" s="4">
        <v>4641855</v>
      </c>
      <c r="J216" s="3" t="s">
        <v>261</v>
      </c>
      <c r="K216" s="3" t="s">
        <v>262</v>
      </c>
      <c r="L216" s="3" t="s">
        <v>263</v>
      </c>
      <c r="M216" s="5">
        <v>46084</v>
      </c>
      <c r="N216" s="3" t="s">
        <v>663</v>
      </c>
      <c r="O216" s="3" t="s">
        <v>664</v>
      </c>
      <c r="P216" s="3" t="s">
        <v>40</v>
      </c>
      <c r="Q216" s="6">
        <v>35700</v>
      </c>
      <c r="R216" s="6">
        <v>35700</v>
      </c>
      <c r="S216" s="5">
        <v>46188</v>
      </c>
      <c r="T216" s="3" t="s">
        <v>66</v>
      </c>
      <c r="U216" s="3" t="s">
        <v>79</v>
      </c>
      <c r="V216" s="3" t="s">
        <v>49</v>
      </c>
      <c r="W216" s="3" t="s">
        <v>80</v>
      </c>
      <c r="X216" s="3" t="s">
        <v>41</v>
      </c>
      <c r="Y216" s="3">
        <v>100191</v>
      </c>
      <c r="Z216" s="3" t="s">
        <v>137</v>
      </c>
      <c r="AA216" s="3">
        <v>100191</v>
      </c>
      <c r="AB216" s="3" t="s">
        <v>137</v>
      </c>
      <c r="AC216" s="4">
        <f ca="1">TODAY()-Open[[#This Row],[Status Date]]</f>
        <v>16</v>
      </c>
      <c r="AD216" s="3" t="s">
        <v>91</v>
      </c>
      <c r="AE216" t="str">
        <f t="shared" si="3"/>
        <v>Dominic Flores</v>
      </c>
      <c r="AF216" t="s">
        <v>1060</v>
      </c>
    </row>
    <row r="217" spans="1:32" x14ac:dyDescent="0.3">
      <c r="A217" s="3" t="s">
        <v>81</v>
      </c>
      <c r="B217" s="3" t="s">
        <v>82</v>
      </c>
      <c r="C217" s="3" t="s">
        <v>83</v>
      </c>
      <c r="D217" s="5">
        <v>46125</v>
      </c>
      <c r="E217" s="5">
        <v>46125</v>
      </c>
      <c r="F217" s="3" t="s">
        <v>68</v>
      </c>
      <c r="G217" s="3" t="s">
        <v>84</v>
      </c>
      <c r="H217" s="4">
        <v>67</v>
      </c>
      <c r="I217" s="4">
        <v>4642133</v>
      </c>
      <c r="J217" s="3" t="s">
        <v>264</v>
      </c>
      <c r="K217" s="3" t="s">
        <v>265</v>
      </c>
      <c r="L217" s="3" t="s">
        <v>266</v>
      </c>
      <c r="M217" s="5">
        <v>46084</v>
      </c>
      <c r="N217" s="3" t="s">
        <v>663</v>
      </c>
      <c r="O217" s="3" t="s">
        <v>664</v>
      </c>
      <c r="P217" s="3" t="s">
        <v>40</v>
      </c>
      <c r="Q217" s="6">
        <v>17850</v>
      </c>
      <c r="R217" s="6">
        <v>17850</v>
      </c>
      <c r="S217" s="5">
        <v>46188</v>
      </c>
      <c r="T217" s="3" t="s">
        <v>66</v>
      </c>
      <c r="U217" s="3" t="s">
        <v>79</v>
      </c>
      <c r="V217" s="3" t="s">
        <v>49</v>
      </c>
      <c r="W217" s="3" t="s">
        <v>80</v>
      </c>
      <c r="X217" s="3" t="s">
        <v>41</v>
      </c>
      <c r="Y217" s="3">
        <v>100201</v>
      </c>
      <c r="Z217" s="3" t="s">
        <v>306</v>
      </c>
      <c r="AA217" s="3">
        <v>100201</v>
      </c>
      <c r="AB217" s="3" t="s">
        <v>306</v>
      </c>
      <c r="AC217" s="4">
        <f ca="1">TODAY()-Open[[#This Row],[Status Date]]</f>
        <v>16</v>
      </c>
      <c r="AD217" s="3" t="s">
        <v>91</v>
      </c>
      <c r="AE217" t="str">
        <f t="shared" si="3"/>
        <v>Aiden Harper</v>
      </c>
      <c r="AF217" t="s">
        <v>1060</v>
      </c>
    </row>
    <row r="218" spans="1:32" x14ac:dyDescent="0.3">
      <c r="A218" s="3" t="s">
        <v>81</v>
      </c>
      <c r="B218" s="3" t="s">
        <v>82</v>
      </c>
      <c r="C218" s="3" t="s">
        <v>83</v>
      </c>
      <c r="D218" s="5">
        <v>46125</v>
      </c>
      <c r="E218" s="5">
        <v>46125</v>
      </c>
      <c r="F218" s="3" t="s">
        <v>68</v>
      </c>
      <c r="G218" s="3" t="s">
        <v>84</v>
      </c>
      <c r="H218" s="4">
        <v>67</v>
      </c>
      <c r="I218" s="4">
        <v>4642411</v>
      </c>
      <c r="J218" s="3" t="s">
        <v>267</v>
      </c>
      <c r="K218" s="3" t="s">
        <v>268</v>
      </c>
      <c r="L218" s="3" t="s">
        <v>269</v>
      </c>
      <c r="M218" s="5">
        <v>46084</v>
      </c>
      <c r="N218" s="3" t="s">
        <v>663</v>
      </c>
      <c r="O218" s="3" t="s">
        <v>664</v>
      </c>
      <c r="P218" s="3" t="s">
        <v>34</v>
      </c>
      <c r="Q218" s="6">
        <v>28560</v>
      </c>
      <c r="R218" s="6">
        <v>28560</v>
      </c>
      <c r="S218" s="5">
        <v>46188</v>
      </c>
      <c r="T218" s="3" t="s">
        <v>66</v>
      </c>
      <c r="U218" s="3" t="s">
        <v>79</v>
      </c>
      <c r="V218" s="3" t="s">
        <v>49</v>
      </c>
      <c r="W218" s="3" t="s">
        <v>80</v>
      </c>
      <c r="X218" s="3" t="s">
        <v>35</v>
      </c>
      <c r="Y218" s="3">
        <v>100231</v>
      </c>
      <c r="Z218" s="3" t="s">
        <v>310</v>
      </c>
      <c r="AA218" s="3">
        <v>100231</v>
      </c>
      <c r="AB218" s="3" t="s">
        <v>310</v>
      </c>
      <c r="AC218" s="4">
        <f ca="1">TODAY()-Open[[#This Row],[Status Date]]</f>
        <v>16</v>
      </c>
      <c r="AD218" s="3" t="s">
        <v>91</v>
      </c>
      <c r="AE218" t="str">
        <f t="shared" si="3"/>
        <v>Jackson Norris</v>
      </c>
      <c r="AF218" t="s">
        <v>1055</v>
      </c>
    </row>
    <row r="219" spans="1:32" x14ac:dyDescent="0.3">
      <c r="A219" s="3" t="s">
        <v>81</v>
      </c>
      <c r="B219" s="3" t="s">
        <v>82</v>
      </c>
      <c r="C219" s="3" t="s">
        <v>83</v>
      </c>
      <c r="D219" s="5">
        <v>46125</v>
      </c>
      <c r="E219" s="5">
        <v>46125</v>
      </c>
      <c r="F219" s="3" t="s">
        <v>68</v>
      </c>
      <c r="G219" s="3" t="s">
        <v>84</v>
      </c>
      <c r="H219" s="4">
        <v>67</v>
      </c>
      <c r="I219" s="4">
        <v>4642690</v>
      </c>
      <c r="J219" s="3" t="s">
        <v>270</v>
      </c>
      <c r="K219" s="3" t="s">
        <v>271</v>
      </c>
      <c r="L219" s="3" t="s">
        <v>272</v>
      </c>
      <c r="M219" s="5">
        <v>46084</v>
      </c>
      <c r="N219" s="3" t="s">
        <v>663</v>
      </c>
      <c r="O219" s="3" t="s">
        <v>664</v>
      </c>
      <c r="P219" s="3" t="s">
        <v>40</v>
      </c>
      <c r="Q219" s="6">
        <v>17850</v>
      </c>
      <c r="R219" s="6">
        <v>17850</v>
      </c>
      <c r="S219" s="5">
        <v>46188</v>
      </c>
      <c r="T219" s="3" t="s">
        <v>66</v>
      </c>
      <c r="U219" s="3" t="s">
        <v>79</v>
      </c>
      <c r="V219" s="3" t="s">
        <v>49</v>
      </c>
      <c r="W219" s="3" t="s">
        <v>80</v>
      </c>
      <c r="X219" s="3" t="s">
        <v>41</v>
      </c>
      <c r="Y219" s="3">
        <v>100241</v>
      </c>
      <c r="Z219" s="3" t="s">
        <v>314</v>
      </c>
      <c r="AA219" s="3">
        <v>100241</v>
      </c>
      <c r="AB219" s="3" t="s">
        <v>314</v>
      </c>
      <c r="AC219" s="4">
        <f ca="1">TODAY()-Open[[#This Row],[Status Date]]</f>
        <v>16</v>
      </c>
      <c r="AD219" s="3" t="s">
        <v>91</v>
      </c>
      <c r="AE219" t="str">
        <f t="shared" si="3"/>
        <v>Leah Pearson</v>
      </c>
      <c r="AF219" t="s">
        <v>1060</v>
      </c>
    </row>
    <row r="220" spans="1:32" x14ac:dyDescent="0.3">
      <c r="A220" s="3" t="s">
        <v>81</v>
      </c>
      <c r="B220" s="3" t="s">
        <v>82</v>
      </c>
      <c r="C220" s="3" t="s">
        <v>83</v>
      </c>
      <c r="D220" s="5">
        <v>46125</v>
      </c>
      <c r="E220" s="5">
        <v>46125</v>
      </c>
      <c r="F220" s="3" t="s">
        <v>68</v>
      </c>
      <c r="G220" s="3" t="s">
        <v>84</v>
      </c>
      <c r="H220" s="4">
        <v>67</v>
      </c>
      <c r="I220" s="4">
        <v>4642968</v>
      </c>
      <c r="J220" s="3" t="s">
        <v>273</v>
      </c>
      <c r="K220" s="3" t="s">
        <v>274</v>
      </c>
      <c r="L220" s="3" t="s">
        <v>275</v>
      </c>
      <c r="M220" s="5">
        <v>46084</v>
      </c>
      <c r="N220" s="3" t="s">
        <v>663</v>
      </c>
      <c r="O220" s="3" t="s">
        <v>664</v>
      </c>
      <c r="P220" s="3" t="s">
        <v>40</v>
      </c>
      <c r="Q220" s="6">
        <v>7140</v>
      </c>
      <c r="R220" s="6">
        <v>7140</v>
      </c>
      <c r="S220" s="5">
        <v>46188</v>
      </c>
      <c r="T220" s="3" t="s">
        <v>66</v>
      </c>
      <c r="U220" s="3" t="s">
        <v>79</v>
      </c>
      <c r="V220" s="3" t="s">
        <v>49</v>
      </c>
      <c r="W220" s="3" t="s">
        <v>80</v>
      </c>
      <c r="X220" s="3" t="s">
        <v>41</v>
      </c>
      <c r="Y220" s="3">
        <v>100271</v>
      </c>
      <c r="Z220" s="3" t="s">
        <v>318</v>
      </c>
      <c r="AA220" s="3">
        <v>100271</v>
      </c>
      <c r="AB220" s="3" t="s">
        <v>318</v>
      </c>
      <c r="AC220" s="4">
        <f ca="1">TODAY()-Open[[#This Row],[Status Date]]</f>
        <v>16</v>
      </c>
      <c r="AD220" s="3" t="s">
        <v>91</v>
      </c>
      <c r="AE220" t="str">
        <f t="shared" si="3"/>
        <v>Brooke Palmer</v>
      </c>
      <c r="AF220" t="s">
        <v>1060</v>
      </c>
    </row>
    <row r="221" spans="1:32" x14ac:dyDescent="0.3">
      <c r="A221" s="3" t="s">
        <v>81</v>
      </c>
      <c r="B221" s="3" t="s">
        <v>82</v>
      </c>
      <c r="C221" s="3" t="s">
        <v>83</v>
      </c>
      <c r="D221" s="5">
        <v>46125</v>
      </c>
      <c r="E221" s="5">
        <v>46125</v>
      </c>
      <c r="F221" s="3" t="s">
        <v>68</v>
      </c>
      <c r="G221" s="3" t="s">
        <v>84</v>
      </c>
      <c r="H221" s="4">
        <v>67</v>
      </c>
      <c r="I221" s="4">
        <v>4643246</v>
      </c>
      <c r="J221" s="3" t="s">
        <v>276</v>
      </c>
      <c r="K221" s="3" t="s">
        <v>277</v>
      </c>
      <c r="L221" s="3" t="s">
        <v>278</v>
      </c>
      <c r="M221" s="5">
        <v>46084</v>
      </c>
      <c r="N221" s="3" t="s">
        <v>663</v>
      </c>
      <c r="O221" s="3" t="s">
        <v>664</v>
      </c>
      <c r="P221" s="3" t="s">
        <v>40</v>
      </c>
      <c r="Q221" s="6">
        <v>17850</v>
      </c>
      <c r="R221" s="6">
        <v>17850</v>
      </c>
      <c r="S221" s="5">
        <v>46188</v>
      </c>
      <c r="T221" s="3" t="s">
        <v>66</v>
      </c>
      <c r="U221" s="3" t="s">
        <v>79</v>
      </c>
      <c r="V221" s="3" t="s">
        <v>49</v>
      </c>
      <c r="W221" s="3" t="s">
        <v>80</v>
      </c>
      <c r="X221" s="3" t="s">
        <v>41</v>
      </c>
      <c r="Y221" s="3">
        <v>100281</v>
      </c>
      <c r="Z221" s="3" t="s">
        <v>322</v>
      </c>
      <c r="AA221" s="3">
        <v>100281</v>
      </c>
      <c r="AB221" s="3" t="s">
        <v>322</v>
      </c>
      <c r="AC221" s="4">
        <f ca="1">TODAY()-Open[[#This Row],[Status Date]]</f>
        <v>16</v>
      </c>
      <c r="AD221" s="3" t="s">
        <v>91</v>
      </c>
      <c r="AE221" t="str">
        <f t="shared" si="3"/>
        <v>Grace Whitaker</v>
      </c>
      <c r="AF221" t="s">
        <v>1060</v>
      </c>
    </row>
    <row r="222" spans="1:32" x14ac:dyDescent="0.3">
      <c r="A222" s="3" t="s">
        <v>81</v>
      </c>
      <c r="B222" s="3" t="s">
        <v>82</v>
      </c>
      <c r="C222" s="3" t="s">
        <v>83</v>
      </c>
      <c r="D222" s="5">
        <v>46125</v>
      </c>
      <c r="E222" s="5">
        <v>46125</v>
      </c>
      <c r="F222" s="3" t="s">
        <v>68</v>
      </c>
      <c r="G222" s="3" t="s">
        <v>84</v>
      </c>
      <c r="H222" s="4">
        <v>67</v>
      </c>
      <c r="I222" s="4">
        <v>4643525</v>
      </c>
      <c r="J222" s="3" t="s">
        <v>279</v>
      </c>
      <c r="K222" s="3" t="s">
        <v>280</v>
      </c>
      <c r="L222" s="3" t="s">
        <v>281</v>
      </c>
      <c r="M222" s="5">
        <v>46084</v>
      </c>
      <c r="N222" s="3" t="s">
        <v>663</v>
      </c>
      <c r="O222" s="3" t="s">
        <v>664</v>
      </c>
      <c r="P222" s="3" t="s">
        <v>40</v>
      </c>
      <c r="Q222" s="6">
        <v>10710</v>
      </c>
      <c r="R222" s="6">
        <v>10710</v>
      </c>
      <c r="S222" s="5">
        <v>46188</v>
      </c>
      <c r="T222" s="3" t="s">
        <v>66</v>
      </c>
      <c r="U222" s="3" t="s">
        <v>79</v>
      </c>
      <c r="V222" s="3" t="s">
        <v>49</v>
      </c>
      <c r="W222" s="3" t="s">
        <v>80</v>
      </c>
      <c r="X222" s="3" t="s">
        <v>41</v>
      </c>
      <c r="Y222" s="3">
        <v>100111</v>
      </c>
      <c r="Z222" s="3" t="s">
        <v>90</v>
      </c>
      <c r="AA222" s="3">
        <v>100111</v>
      </c>
      <c r="AB222" s="3" t="s">
        <v>90</v>
      </c>
      <c r="AC222" s="4">
        <f ca="1">TODAY()-Open[[#This Row],[Status Date]]</f>
        <v>16</v>
      </c>
      <c r="AD222" s="3" t="s">
        <v>91</v>
      </c>
      <c r="AE222" t="str">
        <f t="shared" si="3"/>
        <v>Andrew Ross</v>
      </c>
      <c r="AF222" t="s">
        <v>1060</v>
      </c>
    </row>
    <row r="223" spans="1:32" x14ac:dyDescent="0.3">
      <c r="A223" s="3" t="s">
        <v>81</v>
      </c>
      <c r="B223" s="3" t="s">
        <v>82</v>
      </c>
      <c r="C223" s="3" t="s">
        <v>83</v>
      </c>
      <c r="D223" s="5">
        <v>46125</v>
      </c>
      <c r="E223" s="5">
        <v>46125</v>
      </c>
      <c r="F223" s="3" t="s">
        <v>68</v>
      </c>
      <c r="G223" s="3" t="s">
        <v>84</v>
      </c>
      <c r="H223" s="4">
        <v>67</v>
      </c>
      <c r="I223" s="4">
        <v>4643803</v>
      </c>
      <c r="J223" s="3" t="s">
        <v>282</v>
      </c>
      <c r="K223" s="3" t="s">
        <v>283</v>
      </c>
      <c r="L223" s="3" t="s">
        <v>284</v>
      </c>
      <c r="M223" s="5">
        <v>46084</v>
      </c>
      <c r="N223" s="3" t="s">
        <v>663</v>
      </c>
      <c r="O223" s="3" t="s">
        <v>664</v>
      </c>
      <c r="P223" s="3" t="s">
        <v>40</v>
      </c>
      <c r="Q223" s="6">
        <v>3570</v>
      </c>
      <c r="R223" s="6">
        <v>3570</v>
      </c>
      <c r="S223" s="5">
        <v>46188</v>
      </c>
      <c r="T223" s="3" t="s">
        <v>66</v>
      </c>
      <c r="U223" s="3" t="s">
        <v>79</v>
      </c>
      <c r="V223" s="3" t="s">
        <v>49</v>
      </c>
      <c r="W223" s="3" t="s">
        <v>80</v>
      </c>
      <c r="X223" s="3" t="s">
        <v>41</v>
      </c>
      <c r="Y223" s="3">
        <v>100121</v>
      </c>
      <c r="Z223" s="3" t="s">
        <v>103</v>
      </c>
      <c r="AA223" s="3">
        <v>100121</v>
      </c>
      <c r="AB223" s="3" t="s">
        <v>103</v>
      </c>
      <c r="AC223" s="4">
        <f ca="1">TODAY()-Open[[#This Row],[Status Date]]</f>
        <v>16</v>
      </c>
      <c r="AD223" s="3" t="s">
        <v>91</v>
      </c>
      <c r="AE223" t="str">
        <f t="shared" si="3"/>
        <v>Olivia Jenkins</v>
      </c>
      <c r="AF223" t="s">
        <v>1060</v>
      </c>
    </row>
    <row r="224" spans="1:32" x14ac:dyDescent="0.3">
      <c r="A224" s="3" t="s">
        <v>81</v>
      </c>
      <c r="B224" s="3" t="s">
        <v>82</v>
      </c>
      <c r="C224" s="3" t="s">
        <v>83</v>
      </c>
      <c r="D224" s="5">
        <v>46125</v>
      </c>
      <c r="E224" s="5">
        <v>46125</v>
      </c>
      <c r="F224" s="3" t="s">
        <v>68</v>
      </c>
      <c r="G224" s="3" t="s">
        <v>84</v>
      </c>
      <c r="H224" s="4">
        <v>67</v>
      </c>
      <c r="I224" s="4">
        <v>4644081</v>
      </c>
      <c r="J224" s="3" t="s">
        <v>285</v>
      </c>
      <c r="K224" s="3" t="s">
        <v>286</v>
      </c>
      <c r="L224" s="3" t="s">
        <v>287</v>
      </c>
      <c r="M224" s="5">
        <v>46084</v>
      </c>
      <c r="N224" s="3" t="s">
        <v>663</v>
      </c>
      <c r="O224" s="3" t="s">
        <v>664</v>
      </c>
      <c r="P224" s="3" t="s">
        <v>40</v>
      </c>
      <c r="Q224" s="6">
        <v>14280</v>
      </c>
      <c r="R224" s="6">
        <v>14280</v>
      </c>
      <c r="S224" s="5">
        <v>46188</v>
      </c>
      <c r="T224" s="3" t="s">
        <v>66</v>
      </c>
      <c r="U224" s="3" t="s">
        <v>79</v>
      </c>
      <c r="V224" s="3" t="s">
        <v>49</v>
      </c>
      <c r="W224" s="3" t="s">
        <v>80</v>
      </c>
      <c r="X224" s="3" t="s">
        <v>41</v>
      </c>
      <c r="Y224" s="3">
        <v>100151</v>
      </c>
      <c r="Z224" s="3" t="s">
        <v>108</v>
      </c>
      <c r="AA224" s="3">
        <v>100151</v>
      </c>
      <c r="AB224" s="3" t="s">
        <v>108</v>
      </c>
      <c r="AC224" s="4">
        <f ca="1">TODAY()-Open[[#This Row],[Status Date]]</f>
        <v>16</v>
      </c>
      <c r="AD224" s="3" t="s">
        <v>91</v>
      </c>
      <c r="AE224" t="str">
        <f t="shared" si="3"/>
        <v>Mason Reynolds</v>
      </c>
      <c r="AF224" t="s">
        <v>1060</v>
      </c>
    </row>
    <row r="225" spans="1:32" x14ac:dyDescent="0.3">
      <c r="A225" s="3" t="s">
        <v>81</v>
      </c>
      <c r="B225" s="3" t="s">
        <v>82</v>
      </c>
      <c r="C225" s="3" t="s">
        <v>83</v>
      </c>
      <c r="D225" s="5">
        <v>46125</v>
      </c>
      <c r="E225" s="5">
        <v>46125</v>
      </c>
      <c r="F225" s="3" t="s">
        <v>68</v>
      </c>
      <c r="G225" s="3" t="s">
        <v>84</v>
      </c>
      <c r="H225" s="4">
        <v>67</v>
      </c>
      <c r="I225" s="4">
        <v>4644359</v>
      </c>
      <c r="J225" s="3" t="s">
        <v>288</v>
      </c>
      <c r="K225" s="3" t="s">
        <v>289</v>
      </c>
      <c r="L225" s="3" t="s">
        <v>290</v>
      </c>
      <c r="M225" s="5">
        <v>46084</v>
      </c>
      <c r="N225" s="3" t="s">
        <v>663</v>
      </c>
      <c r="O225" s="3" t="s">
        <v>664</v>
      </c>
      <c r="P225" s="3" t="s">
        <v>40</v>
      </c>
      <c r="Q225" s="6">
        <v>14280</v>
      </c>
      <c r="R225" s="6">
        <v>14280</v>
      </c>
      <c r="S225" s="5">
        <v>46188</v>
      </c>
      <c r="T225" s="3" t="s">
        <v>66</v>
      </c>
      <c r="U225" s="3" t="s">
        <v>79</v>
      </c>
      <c r="V225" s="3" t="s">
        <v>49</v>
      </c>
      <c r="W225" s="3" t="s">
        <v>80</v>
      </c>
      <c r="X225" s="3" t="s">
        <v>41</v>
      </c>
      <c r="Y225" s="3">
        <v>100161</v>
      </c>
      <c r="Z225" s="3" t="s">
        <v>132</v>
      </c>
      <c r="AA225" s="3">
        <v>100161</v>
      </c>
      <c r="AB225" s="3" t="s">
        <v>132</v>
      </c>
      <c r="AC225" s="4">
        <f ca="1">TODAY()-Open[[#This Row],[Status Date]]</f>
        <v>16</v>
      </c>
      <c r="AD225" s="3" t="s">
        <v>91</v>
      </c>
      <c r="AE225" t="str">
        <f t="shared" si="3"/>
        <v>Connor Bishop</v>
      </c>
      <c r="AF225" t="s">
        <v>1060</v>
      </c>
    </row>
    <row r="226" spans="1:32" x14ac:dyDescent="0.3">
      <c r="A226" s="3" t="s">
        <v>81</v>
      </c>
      <c r="B226" s="3" t="s">
        <v>82</v>
      </c>
      <c r="C226" s="3" t="s">
        <v>83</v>
      </c>
      <c r="D226" s="5">
        <v>46125</v>
      </c>
      <c r="E226" s="5">
        <v>46125</v>
      </c>
      <c r="F226" s="3" t="s">
        <v>68</v>
      </c>
      <c r="G226" s="3" t="s">
        <v>84</v>
      </c>
      <c r="H226" s="4">
        <v>67</v>
      </c>
      <c r="I226" s="4">
        <v>4644638</v>
      </c>
      <c r="J226" s="3" t="s">
        <v>291</v>
      </c>
      <c r="K226" s="3" t="s">
        <v>292</v>
      </c>
      <c r="L226" s="3" t="s">
        <v>293</v>
      </c>
      <c r="M226" s="5">
        <v>46085</v>
      </c>
      <c r="N226" s="3" t="s">
        <v>663</v>
      </c>
      <c r="O226" s="3" t="s">
        <v>664</v>
      </c>
      <c r="P226" s="3" t="s">
        <v>40</v>
      </c>
      <c r="Q226" s="6">
        <v>35700</v>
      </c>
      <c r="R226" s="6">
        <v>35700</v>
      </c>
      <c r="S226" s="5">
        <v>46188</v>
      </c>
      <c r="T226" s="3" t="s">
        <v>66</v>
      </c>
      <c r="U226" s="3" t="s">
        <v>79</v>
      </c>
      <c r="V226" s="3" t="s">
        <v>49</v>
      </c>
      <c r="W226" s="3" t="s">
        <v>80</v>
      </c>
      <c r="X226" s="3" t="s">
        <v>41</v>
      </c>
      <c r="Y226" s="3">
        <v>100191</v>
      </c>
      <c r="Z226" s="3" t="s">
        <v>137</v>
      </c>
      <c r="AA226" s="3">
        <v>100191</v>
      </c>
      <c r="AB226" s="3" t="s">
        <v>137</v>
      </c>
      <c r="AC226" s="4">
        <f ca="1">TODAY()-Open[[#This Row],[Status Date]]</f>
        <v>16</v>
      </c>
      <c r="AD226" s="3" t="s">
        <v>91</v>
      </c>
      <c r="AE226" t="str">
        <f t="shared" si="3"/>
        <v>Dominic Flores</v>
      </c>
      <c r="AF226" t="s">
        <v>1060</v>
      </c>
    </row>
    <row r="227" spans="1:32" x14ac:dyDescent="0.3">
      <c r="A227" s="3" t="s">
        <v>81</v>
      </c>
      <c r="B227" s="3" t="s">
        <v>82</v>
      </c>
      <c r="C227" s="3" t="s">
        <v>83</v>
      </c>
      <c r="D227" s="5">
        <v>46125</v>
      </c>
      <c r="E227" s="5">
        <v>46125</v>
      </c>
      <c r="F227" s="3" t="s">
        <v>68</v>
      </c>
      <c r="G227" s="3" t="s">
        <v>84</v>
      </c>
      <c r="H227" s="4">
        <v>67</v>
      </c>
      <c r="I227" s="4">
        <v>4644916</v>
      </c>
      <c r="J227" s="3" t="s">
        <v>294</v>
      </c>
      <c r="K227" s="3" t="s">
        <v>295</v>
      </c>
      <c r="L227" s="3" t="s">
        <v>296</v>
      </c>
      <c r="M227" s="5">
        <v>46085</v>
      </c>
      <c r="N227" s="3" t="s">
        <v>663</v>
      </c>
      <c r="O227" s="3" t="s">
        <v>664</v>
      </c>
      <c r="P227" s="3" t="s">
        <v>40</v>
      </c>
      <c r="Q227" s="6">
        <v>3570</v>
      </c>
      <c r="R227" s="6">
        <v>3570</v>
      </c>
      <c r="S227" s="5">
        <v>46188</v>
      </c>
      <c r="T227" s="3" t="s">
        <v>66</v>
      </c>
      <c r="U227" s="3" t="s">
        <v>79</v>
      </c>
      <c r="V227" s="3" t="s">
        <v>49</v>
      </c>
      <c r="W227" s="3" t="s">
        <v>80</v>
      </c>
      <c r="X227" s="3" t="s">
        <v>41</v>
      </c>
      <c r="Y227" s="3">
        <v>100201</v>
      </c>
      <c r="Z227" s="3" t="s">
        <v>306</v>
      </c>
      <c r="AA227" s="3">
        <v>100201</v>
      </c>
      <c r="AB227" s="3" t="s">
        <v>306</v>
      </c>
      <c r="AC227" s="4">
        <f ca="1">TODAY()-Open[[#This Row],[Status Date]]</f>
        <v>16</v>
      </c>
      <c r="AD227" s="3" t="s">
        <v>91</v>
      </c>
      <c r="AE227" t="str">
        <f t="shared" si="3"/>
        <v>Aiden Harper</v>
      </c>
      <c r="AF227" t="s">
        <v>1060</v>
      </c>
    </row>
    <row r="228" spans="1:32" x14ac:dyDescent="0.3">
      <c r="A228" s="3" t="s">
        <v>81</v>
      </c>
      <c r="B228" s="3" t="s">
        <v>82</v>
      </c>
      <c r="C228" s="3" t="s">
        <v>83</v>
      </c>
      <c r="D228" s="5">
        <v>46125</v>
      </c>
      <c r="E228" s="5">
        <v>46125</v>
      </c>
      <c r="F228" s="3" t="s">
        <v>68</v>
      </c>
      <c r="G228" s="3" t="s">
        <v>84</v>
      </c>
      <c r="H228" s="4">
        <v>67</v>
      </c>
      <c r="I228" s="4">
        <v>4645194</v>
      </c>
      <c r="J228" s="3" t="s">
        <v>1001</v>
      </c>
      <c r="K228" s="3" t="s">
        <v>298</v>
      </c>
      <c r="L228" s="3" t="s">
        <v>299</v>
      </c>
      <c r="M228" s="5">
        <v>46085</v>
      </c>
      <c r="N228" s="3" t="s">
        <v>663</v>
      </c>
      <c r="O228" s="3" t="s">
        <v>664</v>
      </c>
      <c r="P228" s="3" t="s">
        <v>40</v>
      </c>
      <c r="Q228" s="6">
        <v>21420</v>
      </c>
      <c r="R228" s="6">
        <v>21420</v>
      </c>
      <c r="S228" s="5">
        <v>46188</v>
      </c>
      <c r="T228" s="3" t="s">
        <v>66</v>
      </c>
      <c r="U228" s="3" t="s">
        <v>79</v>
      </c>
      <c r="V228" s="3" t="s">
        <v>49</v>
      </c>
      <c r="W228" s="3" t="s">
        <v>80</v>
      </c>
      <c r="X228" s="3" t="s">
        <v>41</v>
      </c>
      <c r="Y228" s="3">
        <v>100231</v>
      </c>
      <c r="Z228" s="3" t="s">
        <v>310</v>
      </c>
      <c r="AA228" s="3">
        <v>100231</v>
      </c>
      <c r="AB228" s="3" t="s">
        <v>310</v>
      </c>
      <c r="AC228" s="4">
        <f ca="1">TODAY()-Open[[#This Row],[Status Date]]</f>
        <v>16</v>
      </c>
      <c r="AD228" s="3" t="s">
        <v>91</v>
      </c>
      <c r="AE228" t="str">
        <f t="shared" si="3"/>
        <v>Jackson Norris</v>
      </c>
      <c r="AF228" t="s">
        <v>1060</v>
      </c>
    </row>
    <row r="229" spans="1:32" x14ac:dyDescent="0.3">
      <c r="A229" s="3" t="s">
        <v>81</v>
      </c>
      <c r="B229" s="3" t="s">
        <v>82</v>
      </c>
      <c r="C229" s="3" t="s">
        <v>83</v>
      </c>
      <c r="D229" s="5">
        <v>46125</v>
      </c>
      <c r="E229" s="5">
        <v>46189</v>
      </c>
      <c r="F229" s="3" t="s">
        <v>68</v>
      </c>
      <c r="G229" s="3" t="s">
        <v>84</v>
      </c>
      <c r="H229" s="4">
        <v>67</v>
      </c>
      <c r="I229" s="4">
        <v>4645473</v>
      </c>
      <c r="J229" s="3" t="s">
        <v>300</v>
      </c>
      <c r="K229" s="3" t="s">
        <v>301</v>
      </c>
      <c r="L229" s="3" t="s">
        <v>302</v>
      </c>
      <c r="M229" s="5">
        <v>46087</v>
      </c>
      <c r="N229" s="3" t="s">
        <v>1002</v>
      </c>
      <c r="O229" s="3" t="s">
        <v>1003</v>
      </c>
      <c r="P229" s="3" t="s">
        <v>31</v>
      </c>
      <c r="Q229" s="6">
        <v>3407.98</v>
      </c>
      <c r="R229" s="6">
        <v>3407.98</v>
      </c>
      <c r="S229" s="5">
        <v>46195</v>
      </c>
      <c r="T229" s="3" t="s">
        <v>74</v>
      </c>
      <c r="U229" s="3" t="s">
        <v>75</v>
      </c>
      <c r="V229" s="3" t="s">
        <v>55</v>
      </c>
      <c r="W229" s="3" t="s">
        <v>32</v>
      </c>
      <c r="X229" s="3" t="s">
        <v>33</v>
      </c>
      <c r="Y229" s="3">
        <v>100211</v>
      </c>
      <c r="Z229" s="3" t="s">
        <v>107</v>
      </c>
      <c r="AA229" s="3">
        <v>100151</v>
      </c>
      <c r="AB229" s="3" t="s">
        <v>108</v>
      </c>
      <c r="AC229" s="4">
        <f ca="1">TODAY()-Open[[#This Row],[Status Date]]</f>
        <v>9</v>
      </c>
      <c r="AD229" s="3" t="s">
        <v>91</v>
      </c>
      <c r="AE229" t="str">
        <f t="shared" si="3"/>
        <v>Mason Reynolds</v>
      </c>
      <c r="AF229" t="s">
        <v>1065</v>
      </c>
    </row>
    <row r="230" spans="1:32" x14ac:dyDescent="0.3">
      <c r="A230" s="3" t="s">
        <v>81</v>
      </c>
      <c r="B230" s="3" t="s">
        <v>82</v>
      </c>
      <c r="C230" s="3" t="s">
        <v>83</v>
      </c>
      <c r="D230" s="5">
        <v>46127</v>
      </c>
      <c r="E230" s="5">
        <v>46127</v>
      </c>
      <c r="F230" s="3" t="s">
        <v>68</v>
      </c>
      <c r="G230" s="3" t="s">
        <v>84</v>
      </c>
      <c r="H230" s="4">
        <v>65</v>
      </c>
      <c r="I230" s="4">
        <v>4651317</v>
      </c>
      <c r="J230" s="3" t="s">
        <v>368</v>
      </c>
      <c r="K230" s="3" t="s">
        <v>369</v>
      </c>
      <c r="L230" s="3" t="s">
        <v>370</v>
      </c>
      <c r="M230" s="5">
        <v>46086</v>
      </c>
      <c r="N230" s="3" t="s">
        <v>663</v>
      </c>
      <c r="O230" s="3" t="s">
        <v>664</v>
      </c>
      <c r="P230" s="3" t="s">
        <v>40</v>
      </c>
      <c r="Q230" s="6">
        <v>220050</v>
      </c>
      <c r="R230" s="6">
        <v>220050</v>
      </c>
      <c r="S230" s="5">
        <v>46188</v>
      </c>
      <c r="T230" s="3" t="s">
        <v>66</v>
      </c>
      <c r="U230" s="3" t="s">
        <v>79</v>
      </c>
      <c r="V230" s="3" t="s">
        <v>49</v>
      </c>
      <c r="W230" s="3" t="s">
        <v>80</v>
      </c>
      <c r="X230" s="3" t="s">
        <v>41</v>
      </c>
      <c r="Y230" s="3">
        <v>100241</v>
      </c>
      <c r="Z230" s="3" t="s">
        <v>314</v>
      </c>
      <c r="AA230" s="3">
        <v>100241</v>
      </c>
      <c r="AB230" s="3" t="s">
        <v>314</v>
      </c>
      <c r="AC230" s="4">
        <f ca="1">TODAY()-Open[[#This Row],[Status Date]]</f>
        <v>16</v>
      </c>
      <c r="AD230" s="3" t="s">
        <v>91</v>
      </c>
      <c r="AE230" t="str">
        <f t="shared" si="3"/>
        <v>Leah Pearson</v>
      </c>
      <c r="AF230" t="s">
        <v>1060</v>
      </c>
    </row>
    <row r="231" spans="1:32" x14ac:dyDescent="0.3">
      <c r="A231" s="3" t="s">
        <v>81</v>
      </c>
      <c r="B231" s="3" t="s">
        <v>82</v>
      </c>
      <c r="C231" s="3" t="s">
        <v>83</v>
      </c>
      <c r="D231" s="5">
        <v>46127</v>
      </c>
      <c r="E231" s="5">
        <v>46127</v>
      </c>
      <c r="F231" s="3" t="s">
        <v>68</v>
      </c>
      <c r="G231" s="3" t="s">
        <v>84</v>
      </c>
      <c r="H231" s="4">
        <v>65</v>
      </c>
      <c r="I231" s="4">
        <v>4651595</v>
      </c>
      <c r="J231" s="3" t="s">
        <v>371</v>
      </c>
      <c r="K231" s="3" t="s">
        <v>372</v>
      </c>
      <c r="L231" s="3" t="s">
        <v>373</v>
      </c>
      <c r="M231" s="5">
        <v>46087</v>
      </c>
      <c r="N231" s="3" t="s">
        <v>663</v>
      </c>
      <c r="O231" s="3" t="s">
        <v>664</v>
      </c>
      <c r="P231" s="3" t="s">
        <v>40</v>
      </c>
      <c r="Q231" s="6">
        <v>14280</v>
      </c>
      <c r="R231" s="6">
        <v>14280</v>
      </c>
      <c r="S231" s="5">
        <v>46188</v>
      </c>
      <c r="T231" s="3" t="s">
        <v>66</v>
      </c>
      <c r="U231" s="3" t="s">
        <v>79</v>
      </c>
      <c r="V231" s="3" t="s">
        <v>49</v>
      </c>
      <c r="W231" s="3" t="s">
        <v>80</v>
      </c>
      <c r="X231" s="3" t="s">
        <v>41</v>
      </c>
      <c r="Y231" s="3">
        <v>100271</v>
      </c>
      <c r="Z231" s="3" t="s">
        <v>318</v>
      </c>
      <c r="AA231" s="3">
        <v>100271</v>
      </c>
      <c r="AB231" s="3" t="s">
        <v>318</v>
      </c>
      <c r="AC231" s="4">
        <f ca="1">TODAY()-Open[[#This Row],[Status Date]]</f>
        <v>16</v>
      </c>
      <c r="AD231" s="3" t="s">
        <v>91</v>
      </c>
      <c r="AE231" t="str">
        <f t="shared" si="3"/>
        <v>Brooke Palmer</v>
      </c>
      <c r="AF231" t="s">
        <v>1060</v>
      </c>
    </row>
    <row r="232" spans="1:32" x14ac:dyDescent="0.3">
      <c r="A232" s="3" t="s">
        <v>81</v>
      </c>
      <c r="B232" s="3" t="s">
        <v>82</v>
      </c>
      <c r="C232" s="3" t="s">
        <v>83</v>
      </c>
      <c r="D232" s="5">
        <v>46127</v>
      </c>
      <c r="E232" s="5">
        <v>46127</v>
      </c>
      <c r="F232" s="3" t="s">
        <v>68</v>
      </c>
      <c r="G232" s="3" t="s">
        <v>84</v>
      </c>
      <c r="H232" s="4">
        <v>65</v>
      </c>
      <c r="I232" s="4">
        <v>4651873</v>
      </c>
      <c r="J232" s="3" t="s">
        <v>374</v>
      </c>
      <c r="K232" s="3" t="s">
        <v>375</v>
      </c>
      <c r="L232" s="3" t="s">
        <v>376</v>
      </c>
      <c r="M232" s="5">
        <v>46087</v>
      </c>
      <c r="N232" s="3" t="s">
        <v>663</v>
      </c>
      <c r="O232" s="3" t="s">
        <v>664</v>
      </c>
      <c r="P232" s="3" t="s">
        <v>40</v>
      </c>
      <c r="Q232" s="6">
        <v>28560</v>
      </c>
      <c r="R232" s="6">
        <v>28560</v>
      </c>
      <c r="S232" s="5">
        <v>46188</v>
      </c>
      <c r="T232" s="3" t="s">
        <v>66</v>
      </c>
      <c r="U232" s="3" t="s">
        <v>79</v>
      </c>
      <c r="V232" s="3" t="s">
        <v>49</v>
      </c>
      <c r="W232" s="3" t="s">
        <v>80</v>
      </c>
      <c r="X232" s="3" t="s">
        <v>41</v>
      </c>
      <c r="Y232" s="3">
        <v>100281</v>
      </c>
      <c r="Z232" s="3" t="s">
        <v>322</v>
      </c>
      <c r="AA232" s="3">
        <v>100281</v>
      </c>
      <c r="AB232" s="3" t="s">
        <v>322</v>
      </c>
      <c r="AC232" s="4">
        <f ca="1">TODAY()-Open[[#This Row],[Status Date]]</f>
        <v>16</v>
      </c>
      <c r="AD232" s="3" t="s">
        <v>91</v>
      </c>
      <c r="AE232" t="str">
        <f t="shared" si="3"/>
        <v>Grace Whitaker</v>
      </c>
      <c r="AF232" t="s">
        <v>1060</v>
      </c>
    </row>
    <row r="233" spans="1:32" x14ac:dyDescent="0.3">
      <c r="A233" s="3" t="s">
        <v>81</v>
      </c>
      <c r="B233" s="3" t="s">
        <v>82</v>
      </c>
      <c r="C233" s="3" t="s">
        <v>83</v>
      </c>
      <c r="D233" s="5">
        <v>46127</v>
      </c>
      <c r="E233" s="5">
        <v>46127</v>
      </c>
      <c r="F233" s="3" t="s">
        <v>68</v>
      </c>
      <c r="G233" s="3" t="s">
        <v>84</v>
      </c>
      <c r="H233" s="4">
        <v>65</v>
      </c>
      <c r="I233" s="4">
        <v>4652151</v>
      </c>
      <c r="J233" s="3" t="s">
        <v>377</v>
      </c>
      <c r="K233" s="3" t="s">
        <v>378</v>
      </c>
      <c r="L233" s="3" t="s">
        <v>379</v>
      </c>
      <c r="M233" s="5">
        <v>46091</v>
      </c>
      <c r="N233" s="3" t="s">
        <v>663</v>
      </c>
      <c r="O233" s="3" t="s">
        <v>664</v>
      </c>
      <c r="P233" s="3" t="s">
        <v>40</v>
      </c>
      <c r="Q233" s="6">
        <v>17074.14</v>
      </c>
      <c r="R233" s="6">
        <v>17074.14</v>
      </c>
      <c r="S233" s="5">
        <v>46188</v>
      </c>
      <c r="T233" s="3" t="s">
        <v>66</v>
      </c>
      <c r="U233" s="3" t="s">
        <v>79</v>
      </c>
      <c r="V233" s="3" t="s">
        <v>49</v>
      </c>
      <c r="W233" s="3" t="s">
        <v>80</v>
      </c>
      <c r="X233" s="3" t="s">
        <v>41</v>
      </c>
      <c r="Y233" s="3">
        <v>100111</v>
      </c>
      <c r="Z233" s="3" t="s">
        <v>90</v>
      </c>
      <c r="AA233" s="3">
        <v>100111</v>
      </c>
      <c r="AB233" s="3" t="s">
        <v>90</v>
      </c>
      <c r="AC233" s="4">
        <f ca="1">TODAY()-Open[[#This Row],[Status Date]]</f>
        <v>16</v>
      </c>
      <c r="AD233" s="3" t="s">
        <v>91</v>
      </c>
      <c r="AE233" t="str">
        <f t="shared" si="3"/>
        <v>Andrew Ross</v>
      </c>
      <c r="AF233" t="s">
        <v>1060</v>
      </c>
    </row>
    <row r="234" spans="1:32" x14ac:dyDescent="0.3">
      <c r="A234" s="3" t="s">
        <v>81</v>
      </c>
      <c r="B234" s="3" t="s">
        <v>82</v>
      </c>
      <c r="C234" s="3" t="s">
        <v>83</v>
      </c>
      <c r="D234" s="5">
        <v>46127</v>
      </c>
      <c r="E234" s="5">
        <v>46127</v>
      </c>
      <c r="F234" s="3" t="s">
        <v>68</v>
      </c>
      <c r="G234" s="3" t="s">
        <v>84</v>
      </c>
      <c r="H234" s="4">
        <v>65</v>
      </c>
      <c r="I234" s="4">
        <v>4652430</v>
      </c>
      <c r="J234" s="3" t="s">
        <v>1004</v>
      </c>
      <c r="K234" s="3" t="s">
        <v>380</v>
      </c>
      <c r="L234" s="3" t="s">
        <v>381</v>
      </c>
      <c r="M234" s="5">
        <v>46094</v>
      </c>
      <c r="N234" s="3" t="s">
        <v>663</v>
      </c>
      <c r="O234" s="3" t="s">
        <v>664</v>
      </c>
      <c r="P234" s="3" t="s">
        <v>40</v>
      </c>
      <c r="Q234" s="6">
        <v>3570</v>
      </c>
      <c r="R234" s="6">
        <v>3570</v>
      </c>
      <c r="S234" s="5">
        <v>46188</v>
      </c>
      <c r="T234" s="3" t="s">
        <v>66</v>
      </c>
      <c r="U234" s="3" t="s">
        <v>79</v>
      </c>
      <c r="V234" s="3" t="s">
        <v>49</v>
      </c>
      <c r="W234" s="3" t="s">
        <v>80</v>
      </c>
      <c r="X234" s="3" t="s">
        <v>41</v>
      </c>
      <c r="Y234" s="3">
        <v>100121</v>
      </c>
      <c r="Z234" s="3" t="s">
        <v>103</v>
      </c>
      <c r="AA234" s="3">
        <v>100121</v>
      </c>
      <c r="AB234" s="3" t="s">
        <v>103</v>
      </c>
      <c r="AC234" s="4">
        <f ca="1">TODAY()-Open[[#This Row],[Status Date]]</f>
        <v>16</v>
      </c>
      <c r="AD234" s="3" t="s">
        <v>91</v>
      </c>
      <c r="AE234" t="str">
        <f t="shared" si="3"/>
        <v>Olivia Jenkins</v>
      </c>
      <c r="AF234" t="s">
        <v>1060</v>
      </c>
    </row>
    <row r="235" spans="1:32" x14ac:dyDescent="0.3">
      <c r="A235" s="3" t="s">
        <v>81</v>
      </c>
      <c r="B235" s="3" t="s">
        <v>82</v>
      </c>
      <c r="C235" s="3" t="s">
        <v>83</v>
      </c>
      <c r="D235" s="5">
        <v>46127</v>
      </c>
      <c r="E235" s="5">
        <v>46127</v>
      </c>
      <c r="F235" s="3" t="s">
        <v>68</v>
      </c>
      <c r="G235" s="3" t="s">
        <v>84</v>
      </c>
      <c r="H235" s="4">
        <v>65</v>
      </c>
      <c r="I235" s="4">
        <v>4652708</v>
      </c>
      <c r="J235" s="3" t="s">
        <v>382</v>
      </c>
      <c r="K235" s="3" t="s">
        <v>383</v>
      </c>
      <c r="L235" s="3" t="s">
        <v>384</v>
      </c>
      <c r="M235" s="5">
        <v>46106</v>
      </c>
      <c r="N235" s="3" t="s">
        <v>663</v>
      </c>
      <c r="O235" s="3" t="s">
        <v>664</v>
      </c>
      <c r="P235" s="3" t="s">
        <v>34</v>
      </c>
      <c r="Q235" s="6">
        <v>7794</v>
      </c>
      <c r="R235" s="6">
        <v>7794</v>
      </c>
      <c r="S235" s="5">
        <v>46188</v>
      </c>
      <c r="T235" s="3" t="s">
        <v>66</v>
      </c>
      <c r="U235" s="3" t="s">
        <v>79</v>
      </c>
      <c r="V235" s="3" t="s">
        <v>49</v>
      </c>
      <c r="W235" s="3" t="s">
        <v>80</v>
      </c>
      <c r="X235" s="3" t="s">
        <v>35</v>
      </c>
      <c r="Y235" s="3">
        <v>100151</v>
      </c>
      <c r="Z235" s="3" t="s">
        <v>108</v>
      </c>
      <c r="AA235" s="3">
        <v>100151</v>
      </c>
      <c r="AB235" s="3" t="s">
        <v>108</v>
      </c>
      <c r="AC235" s="4">
        <f ca="1">TODAY()-Open[[#This Row],[Status Date]]</f>
        <v>16</v>
      </c>
      <c r="AD235" s="3" t="s">
        <v>91</v>
      </c>
      <c r="AE235" t="str">
        <f t="shared" si="3"/>
        <v>Mason Reynolds</v>
      </c>
      <c r="AF235" t="s">
        <v>1055</v>
      </c>
    </row>
    <row r="236" spans="1:32" x14ac:dyDescent="0.3">
      <c r="A236" s="3" t="s">
        <v>81</v>
      </c>
      <c r="B236" s="3" t="s">
        <v>82</v>
      </c>
      <c r="C236" s="3" t="s">
        <v>83</v>
      </c>
      <c r="D236" s="5">
        <v>46127</v>
      </c>
      <c r="E236" s="5">
        <v>46127</v>
      </c>
      <c r="F236" s="3" t="s">
        <v>68</v>
      </c>
      <c r="G236" s="3" t="s">
        <v>84</v>
      </c>
      <c r="H236" s="4">
        <v>65</v>
      </c>
      <c r="I236" s="4">
        <v>4652986</v>
      </c>
      <c r="J236" s="3" t="s">
        <v>385</v>
      </c>
      <c r="K236" s="3" t="s">
        <v>386</v>
      </c>
      <c r="L236" s="3" t="s">
        <v>387</v>
      </c>
      <c r="M236" s="5">
        <v>46108</v>
      </c>
      <c r="N236" s="3" t="s">
        <v>663</v>
      </c>
      <c r="O236" s="3" t="s">
        <v>664</v>
      </c>
      <c r="P236" s="3" t="s">
        <v>40</v>
      </c>
      <c r="Q236" s="6">
        <v>37180</v>
      </c>
      <c r="R236" s="6">
        <v>37180</v>
      </c>
      <c r="S236" s="5">
        <v>46188</v>
      </c>
      <c r="T236" s="3" t="s">
        <v>66</v>
      </c>
      <c r="U236" s="3" t="s">
        <v>79</v>
      </c>
      <c r="V236" s="3" t="s">
        <v>49</v>
      </c>
      <c r="W236" s="3" t="s">
        <v>80</v>
      </c>
      <c r="X236" s="3" t="s">
        <v>41</v>
      </c>
      <c r="Y236" s="3">
        <v>100161</v>
      </c>
      <c r="Z236" s="3" t="s">
        <v>132</v>
      </c>
      <c r="AA236" s="3">
        <v>100161</v>
      </c>
      <c r="AB236" s="3" t="s">
        <v>132</v>
      </c>
      <c r="AC236" s="4">
        <f ca="1">TODAY()-Open[[#This Row],[Status Date]]</f>
        <v>16</v>
      </c>
      <c r="AD236" s="3" t="s">
        <v>91</v>
      </c>
      <c r="AE236" t="str">
        <f t="shared" si="3"/>
        <v>Connor Bishop</v>
      </c>
      <c r="AF236" t="s">
        <v>1060</v>
      </c>
    </row>
    <row r="237" spans="1:32" x14ac:dyDescent="0.3">
      <c r="A237" s="3" t="s">
        <v>81</v>
      </c>
      <c r="B237" s="3" t="s">
        <v>82</v>
      </c>
      <c r="C237" s="3" t="s">
        <v>83</v>
      </c>
      <c r="D237" s="5">
        <v>46136</v>
      </c>
      <c r="E237" s="5">
        <v>46176</v>
      </c>
      <c r="F237" s="3" t="s">
        <v>69</v>
      </c>
      <c r="G237" s="3" t="s">
        <v>84</v>
      </c>
      <c r="H237" s="4">
        <v>56</v>
      </c>
      <c r="I237" s="4">
        <v>4673023</v>
      </c>
      <c r="J237" s="3" t="s">
        <v>406</v>
      </c>
      <c r="K237" s="3" t="s">
        <v>407</v>
      </c>
      <c r="L237" s="3" t="s">
        <v>408</v>
      </c>
      <c r="M237" s="5">
        <v>45989</v>
      </c>
      <c r="N237" s="3" t="s">
        <v>1005</v>
      </c>
      <c r="O237" s="3" t="s">
        <v>1006</v>
      </c>
      <c r="P237" s="3" t="s">
        <v>34</v>
      </c>
      <c r="Q237" s="6">
        <v>6052.86</v>
      </c>
      <c r="R237" s="6">
        <v>6052.86</v>
      </c>
      <c r="S237" s="5">
        <v>46169</v>
      </c>
      <c r="T237" s="3" t="s">
        <v>66</v>
      </c>
      <c r="U237" s="3" t="s">
        <v>79</v>
      </c>
      <c r="V237" s="3" t="s">
        <v>55</v>
      </c>
      <c r="W237" s="3" t="s">
        <v>32</v>
      </c>
      <c r="X237" s="3" t="s">
        <v>35</v>
      </c>
      <c r="Y237" s="3">
        <v>100191</v>
      </c>
      <c r="Z237" s="3" t="s">
        <v>137</v>
      </c>
      <c r="AA237" s="3">
        <v>100191</v>
      </c>
      <c r="AB237" s="3" t="s">
        <v>137</v>
      </c>
      <c r="AC237" s="4">
        <f ca="1">TODAY()-Open[[#This Row],[Status Date]]</f>
        <v>35</v>
      </c>
      <c r="AD237" s="3" t="s">
        <v>91</v>
      </c>
      <c r="AE237" t="str">
        <f t="shared" si="3"/>
        <v>Dominic Flores</v>
      </c>
      <c r="AF237" t="s">
        <v>1055</v>
      </c>
    </row>
    <row r="238" spans="1:32" x14ac:dyDescent="0.3">
      <c r="A238" s="3" t="s">
        <v>81</v>
      </c>
      <c r="B238" s="3" t="s">
        <v>82</v>
      </c>
      <c r="C238" s="3" t="s">
        <v>83</v>
      </c>
      <c r="D238" s="5">
        <v>46142</v>
      </c>
      <c r="E238" s="5">
        <v>46189</v>
      </c>
      <c r="F238" s="3" t="s">
        <v>69</v>
      </c>
      <c r="G238" s="3" t="s">
        <v>84</v>
      </c>
      <c r="H238" s="4">
        <v>50</v>
      </c>
      <c r="I238" s="4">
        <v>4688328</v>
      </c>
      <c r="J238" s="3" t="s">
        <v>412</v>
      </c>
      <c r="K238" s="3" t="s">
        <v>413</v>
      </c>
      <c r="L238" s="3" t="s">
        <v>414</v>
      </c>
      <c r="M238" s="5">
        <v>46111</v>
      </c>
      <c r="N238" s="3" t="s">
        <v>1007</v>
      </c>
      <c r="O238" s="3" t="s">
        <v>1008</v>
      </c>
      <c r="P238" s="3" t="s">
        <v>44</v>
      </c>
      <c r="Q238" s="6">
        <v>9900</v>
      </c>
      <c r="R238" s="6">
        <v>9900</v>
      </c>
      <c r="S238" s="5">
        <v>46195</v>
      </c>
      <c r="T238" s="3" t="s">
        <v>72</v>
      </c>
      <c r="U238" s="3" t="s">
        <v>112</v>
      </c>
      <c r="V238" s="3" t="s">
        <v>55</v>
      </c>
      <c r="W238" s="3" t="s">
        <v>32</v>
      </c>
      <c r="X238" s="3" t="s">
        <v>45</v>
      </c>
      <c r="Y238" s="3">
        <v>100141</v>
      </c>
      <c r="Z238" s="3" t="s">
        <v>123</v>
      </c>
      <c r="AA238" s="3">
        <v>100121</v>
      </c>
      <c r="AB238" s="3" t="s">
        <v>103</v>
      </c>
      <c r="AC238" s="4">
        <f ca="1">TODAY()-Open[[#This Row],[Status Date]]</f>
        <v>9</v>
      </c>
      <c r="AD238" s="3" t="s">
        <v>91</v>
      </c>
      <c r="AE238" t="str">
        <f t="shared" si="3"/>
        <v>Olivia Jenkins</v>
      </c>
      <c r="AF238" t="s">
        <v>1053</v>
      </c>
    </row>
    <row r="239" spans="1:32" x14ac:dyDescent="0.3">
      <c r="A239" s="3" t="s">
        <v>81</v>
      </c>
      <c r="B239" s="3" t="s">
        <v>82</v>
      </c>
      <c r="C239" s="3" t="s">
        <v>83</v>
      </c>
      <c r="D239" s="5">
        <v>46153</v>
      </c>
      <c r="E239" s="5">
        <v>46190</v>
      </c>
      <c r="F239" s="3" t="s">
        <v>69</v>
      </c>
      <c r="G239" s="3" t="s">
        <v>84</v>
      </c>
      <c r="H239" s="4">
        <v>39</v>
      </c>
      <c r="I239" s="4">
        <v>4717270</v>
      </c>
      <c r="J239" s="3" t="s">
        <v>427</v>
      </c>
      <c r="K239" s="3" t="s">
        <v>428</v>
      </c>
      <c r="L239" s="3" t="s">
        <v>429</v>
      </c>
      <c r="M239" s="5">
        <v>46118</v>
      </c>
      <c r="N239" s="3" t="s">
        <v>1009</v>
      </c>
      <c r="O239" s="3" t="s">
        <v>1010</v>
      </c>
      <c r="P239" s="3" t="s">
        <v>34</v>
      </c>
      <c r="Q239" s="6">
        <v>132189.06</v>
      </c>
      <c r="R239" s="6">
        <v>132189.06</v>
      </c>
      <c r="S239" s="5">
        <v>46176</v>
      </c>
      <c r="T239" s="3" t="s">
        <v>66</v>
      </c>
      <c r="U239" s="3" t="s">
        <v>79</v>
      </c>
      <c r="V239" s="3" t="s">
        <v>55</v>
      </c>
      <c r="W239" s="3" t="s">
        <v>32</v>
      </c>
      <c r="X239" s="3" t="s">
        <v>35</v>
      </c>
      <c r="Y239" s="3">
        <v>100201</v>
      </c>
      <c r="Z239" s="3" t="s">
        <v>306</v>
      </c>
      <c r="AA239" s="3">
        <v>100201</v>
      </c>
      <c r="AB239" s="3" t="s">
        <v>306</v>
      </c>
      <c r="AC239" s="4">
        <f ca="1">TODAY()-Open[[#This Row],[Status Date]]</f>
        <v>28</v>
      </c>
      <c r="AD239" s="3" t="s">
        <v>91</v>
      </c>
      <c r="AE239" t="str">
        <f t="shared" si="3"/>
        <v>Aiden Harper</v>
      </c>
      <c r="AF239" t="s">
        <v>1055</v>
      </c>
    </row>
    <row r="240" spans="1:32" x14ac:dyDescent="0.3">
      <c r="A240" s="3" t="s">
        <v>81</v>
      </c>
      <c r="B240" s="3" t="s">
        <v>82</v>
      </c>
      <c r="C240" s="3" t="s">
        <v>83</v>
      </c>
      <c r="D240" s="5">
        <v>46157</v>
      </c>
      <c r="E240" s="5">
        <v>46168</v>
      </c>
      <c r="F240" s="3" t="s">
        <v>69</v>
      </c>
      <c r="G240" s="3" t="s">
        <v>84</v>
      </c>
      <c r="H240" s="4">
        <v>35</v>
      </c>
      <c r="I240" s="4">
        <v>4747325</v>
      </c>
      <c r="J240" s="3" t="s">
        <v>436</v>
      </c>
      <c r="K240" s="3" t="s">
        <v>437</v>
      </c>
      <c r="L240" s="3" t="s">
        <v>438</v>
      </c>
      <c r="M240" s="5">
        <v>46120</v>
      </c>
      <c r="N240" s="3" t="s">
        <v>1011</v>
      </c>
      <c r="O240" s="3" t="s">
        <v>1012</v>
      </c>
      <c r="P240" s="3" t="s">
        <v>34</v>
      </c>
      <c r="Q240" s="6">
        <v>275961.17</v>
      </c>
      <c r="R240" s="6">
        <v>275961.17</v>
      </c>
      <c r="S240" s="5">
        <v>46188</v>
      </c>
      <c r="T240" s="3" t="s">
        <v>66</v>
      </c>
      <c r="U240" s="3" t="s">
        <v>79</v>
      </c>
      <c r="V240" s="3" t="s">
        <v>55</v>
      </c>
      <c r="W240" s="3" t="s">
        <v>32</v>
      </c>
      <c r="X240" s="3" t="s">
        <v>35</v>
      </c>
      <c r="Y240" s="3">
        <v>100231</v>
      </c>
      <c r="Z240" s="3" t="s">
        <v>310</v>
      </c>
      <c r="AA240" s="3">
        <v>100231</v>
      </c>
      <c r="AB240" s="3" t="s">
        <v>310</v>
      </c>
      <c r="AC240" s="4">
        <f ca="1">TODAY()-Open[[#This Row],[Status Date]]</f>
        <v>16</v>
      </c>
      <c r="AD240" s="3" t="s">
        <v>91</v>
      </c>
      <c r="AE240" t="str">
        <f t="shared" si="3"/>
        <v>Jackson Norris</v>
      </c>
      <c r="AF240" t="s">
        <v>1055</v>
      </c>
    </row>
    <row r="241" spans="1:32" x14ac:dyDescent="0.3">
      <c r="A241" s="3" t="s">
        <v>81</v>
      </c>
      <c r="B241" s="3" t="s">
        <v>82</v>
      </c>
      <c r="C241" s="3" t="s">
        <v>83</v>
      </c>
      <c r="D241" s="5">
        <v>46158</v>
      </c>
      <c r="E241" s="5">
        <v>46158</v>
      </c>
      <c r="F241" s="3" t="s">
        <v>69</v>
      </c>
      <c r="G241" s="3" t="s">
        <v>84</v>
      </c>
      <c r="H241" s="4">
        <v>34</v>
      </c>
      <c r="I241" s="4">
        <v>4750108</v>
      </c>
      <c r="J241" s="3" t="s">
        <v>466</v>
      </c>
      <c r="K241" s="3" t="s">
        <v>467</v>
      </c>
      <c r="L241" s="3" t="s">
        <v>468</v>
      </c>
      <c r="M241" s="5">
        <v>46038</v>
      </c>
      <c r="N241" s="3" t="s">
        <v>916</v>
      </c>
      <c r="O241" s="3" t="s">
        <v>917</v>
      </c>
      <c r="P241" s="3" t="s">
        <v>58</v>
      </c>
      <c r="Q241" s="6">
        <v>195.61</v>
      </c>
      <c r="R241" s="6">
        <v>195.61</v>
      </c>
      <c r="S241" s="5">
        <v>46191</v>
      </c>
      <c r="T241" s="3" t="s">
        <v>74</v>
      </c>
      <c r="U241" s="3" t="s">
        <v>75</v>
      </c>
      <c r="V241" s="3" t="s">
        <v>55</v>
      </c>
      <c r="W241" s="3" t="s">
        <v>32</v>
      </c>
      <c r="X241" s="3" t="s">
        <v>59</v>
      </c>
      <c r="Y241" s="3">
        <v>100251</v>
      </c>
      <c r="Z241" s="3" t="s">
        <v>405</v>
      </c>
      <c r="AA241" s="3">
        <v>100161</v>
      </c>
      <c r="AB241" s="3" t="s">
        <v>132</v>
      </c>
      <c r="AC241" s="4">
        <f ca="1">TODAY()-Open[[#This Row],[Status Date]]</f>
        <v>13</v>
      </c>
      <c r="AD241" s="3" t="s">
        <v>91</v>
      </c>
      <c r="AE241" t="str">
        <f t="shared" si="3"/>
        <v>Connor Bishop</v>
      </c>
      <c r="AF241" t="s">
        <v>1062</v>
      </c>
    </row>
    <row r="242" spans="1:32" x14ac:dyDescent="0.3">
      <c r="A242" s="3" t="s">
        <v>81</v>
      </c>
      <c r="B242" s="3" t="s">
        <v>82</v>
      </c>
      <c r="C242" s="3" t="s">
        <v>83</v>
      </c>
      <c r="D242" s="5">
        <v>46162</v>
      </c>
      <c r="E242" s="5">
        <v>46189</v>
      </c>
      <c r="F242" s="3" t="s">
        <v>69</v>
      </c>
      <c r="G242" s="3" t="s">
        <v>84</v>
      </c>
      <c r="H242" s="4">
        <v>30</v>
      </c>
      <c r="I242" s="4">
        <v>4760682</v>
      </c>
      <c r="J242" s="3" t="s">
        <v>1013</v>
      </c>
      <c r="K242" s="3" t="s">
        <v>469</v>
      </c>
      <c r="L242" s="3" t="s">
        <v>470</v>
      </c>
      <c r="M242" s="5">
        <v>46115</v>
      </c>
      <c r="N242" s="3" t="s">
        <v>1007</v>
      </c>
      <c r="O242" s="3" t="s">
        <v>1008</v>
      </c>
      <c r="P242" s="3" t="s">
        <v>44</v>
      </c>
      <c r="Q242" s="6">
        <v>1102.7</v>
      </c>
      <c r="R242" s="6">
        <v>1102.7</v>
      </c>
      <c r="S242" s="5">
        <v>46195</v>
      </c>
      <c r="T242" s="3" t="s">
        <v>72</v>
      </c>
      <c r="U242" s="3" t="s">
        <v>112</v>
      </c>
      <c r="V242" s="3" t="s">
        <v>55</v>
      </c>
      <c r="W242" s="3" t="s">
        <v>32</v>
      </c>
      <c r="X242" s="3" t="s">
        <v>45</v>
      </c>
      <c r="Y242" s="3">
        <v>100181</v>
      </c>
      <c r="Z242" s="3" t="s">
        <v>127</v>
      </c>
      <c r="AA242" s="3">
        <v>100151</v>
      </c>
      <c r="AB242" s="3" t="s">
        <v>108</v>
      </c>
      <c r="AC242" s="4">
        <f ca="1">TODAY()-Open[[#This Row],[Status Date]]</f>
        <v>9</v>
      </c>
      <c r="AD242" s="3" t="s">
        <v>91</v>
      </c>
      <c r="AE242" t="str">
        <f t="shared" si="3"/>
        <v>Mason Reynolds</v>
      </c>
      <c r="AF242" t="s">
        <v>1053</v>
      </c>
    </row>
    <row r="243" spans="1:32" x14ac:dyDescent="0.3">
      <c r="A243" s="3" t="s">
        <v>81</v>
      </c>
      <c r="B243" s="3" t="s">
        <v>82</v>
      </c>
      <c r="C243" s="3" t="s">
        <v>83</v>
      </c>
      <c r="D243" s="5">
        <v>46163</v>
      </c>
      <c r="E243" s="5">
        <v>46163</v>
      </c>
      <c r="F243" s="3" t="s">
        <v>69</v>
      </c>
      <c r="G243" s="3" t="s">
        <v>84</v>
      </c>
      <c r="H243" s="4">
        <v>29</v>
      </c>
      <c r="I243" s="4">
        <v>4767918</v>
      </c>
      <c r="J243" s="3" t="s">
        <v>1014</v>
      </c>
      <c r="K243" s="3" t="s">
        <v>471</v>
      </c>
      <c r="L243" s="3" t="s">
        <v>472</v>
      </c>
      <c r="M243" s="5">
        <v>46127</v>
      </c>
      <c r="N243" s="3" t="s">
        <v>836</v>
      </c>
      <c r="O243" s="3" t="s">
        <v>837</v>
      </c>
      <c r="P243" s="3" t="s">
        <v>34</v>
      </c>
      <c r="Q243" s="6">
        <v>124.05</v>
      </c>
      <c r="R243" s="6">
        <v>124.05</v>
      </c>
      <c r="S243" s="5">
        <v>46195</v>
      </c>
      <c r="T243" s="3" t="s">
        <v>66</v>
      </c>
      <c r="U243" s="3" t="s">
        <v>79</v>
      </c>
      <c r="V243" s="3" t="s">
        <v>55</v>
      </c>
      <c r="W243" s="3" t="s">
        <v>32</v>
      </c>
      <c r="X243" s="3" t="s">
        <v>35</v>
      </c>
      <c r="Y243" s="3">
        <v>100241</v>
      </c>
      <c r="Z243" s="3" t="s">
        <v>314</v>
      </c>
      <c r="AA243" s="3">
        <v>100241</v>
      </c>
      <c r="AB243" s="3" t="s">
        <v>314</v>
      </c>
      <c r="AC243" s="4">
        <f ca="1">TODAY()-Open[[#This Row],[Status Date]]</f>
        <v>9</v>
      </c>
      <c r="AD243" s="3" t="s">
        <v>91</v>
      </c>
      <c r="AE243" t="str">
        <f t="shared" si="3"/>
        <v>Leah Pearson</v>
      </c>
      <c r="AF243" t="s">
        <v>1055</v>
      </c>
    </row>
    <row r="244" spans="1:32" x14ac:dyDescent="0.3">
      <c r="A244" s="3" t="s">
        <v>81</v>
      </c>
      <c r="B244" s="3" t="s">
        <v>82</v>
      </c>
      <c r="C244" s="3" t="s">
        <v>83</v>
      </c>
      <c r="D244" s="5">
        <v>46163</v>
      </c>
      <c r="E244" s="5">
        <v>46163</v>
      </c>
      <c r="F244" s="3" t="s">
        <v>69</v>
      </c>
      <c r="G244" s="3" t="s">
        <v>84</v>
      </c>
      <c r="H244" s="4">
        <v>29</v>
      </c>
      <c r="I244" s="4">
        <v>4768196</v>
      </c>
      <c r="J244" s="3" t="s">
        <v>1015</v>
      </c>
      <c r="K244" s="3" t="s">
        <v>473</v>
      </c>
      <c r="L244" s="3" t="s">
        <v>474</v>
      </c>
      <c r="M244" s="5">
        <v>46129</v>
      </c>
      <c r="N244" s="3" t="s">
        <v>836</v>
      </c>
      <c r="O244" s="3" t="s">
        <v>837</v>
      </c>
      <c r="P244" s="3" t="s">
        <v>34</v>
      </c>
      <c r="Q244" s="6">
        <v>6800</v>
      </c>
      <c r="R244" s="6">
        <v>6800</v>
      </c>
      <c r="S244" s="5">
        <v>46195</v>
      </c>
      <c r="T244" s="3" t="s">
        <v>66</v>
      </c>
      <c r="U244" s="3" t="s">
        <v>79</v>
      </c>
      <c r="V244" s="3" t="s">
        <v>55</v>
      </c>
      <c r="W244" s="3" t="s">
        <v>32</v>
      </c>
      <c r="X244" s="3" t="s">
        <v>35</v>
      </c>
      <c r="Y244" s="3">
        <v>100271</v>
      </c>
      <c r="Z244" s="3" t="s">
        <v>318</v>
      </c>
      <c r="AA244" s="3">
        <v>100271</v>
      </c>
      <c r="AB244" s="3" t="s">
        <v>318</v>
      </c>
      <c r="AC244" s="4">
        <f ca="1">TODAY()-Open[[#This Row],[Status Date]]</f>
        <v>9</v>
      </c>
      <c r="AD244" s="3" t="s">
        <v>91</v>
      </c>
      <c r="AE244" t="str">
        <f t="shared" si="3"/>
        <v>Brooke Palmer</v>
      </c>
      <c r="AF244" t="s">
        <v>1055</v>
      </c>
    </row>
    <row r="245" spans="1:32" x14ac:dyDescent="0.3">
      <c r="A245" s="3" t="s">
        <v>81</v>
      </c>
      <c r="B245" s="3" t="s">
        <v>82</v>
      </c>
      <c r="C245" s="3" t="s">
        <v>83</v>
      </c>
      <c r="D245" s="5">
        <v>46163</v>
      </c>
      <c r="E245" s="5">
        <v>46163</v>
      </c>
      <c r="F245" s="3" t="s">
        <v>69</v>
      </c>
      <c r="G245" s="3" t="s">
        <v>84</v>
      </c>
      <c r="H245" s="4">
        <v>29</v>
      </c>
      <c r="I245" s="4">
        <v>4768474</v>
      </c>
      <c r="J245" s="3" t="s">
        <v>475</v>
      </c>
      <c r="K245" s="3" t="s">
        <v>476</v>
      </c>
      <c r="L245" s="3" t="s">
        <v>477</v>
      </c>
      <c r="M245" s="5">
        <v>46134</v>
      </c>
      <c r="N245" s="3" t="s">
        <v>836</v>
      </c>
      <c r="O245" s="3" t="s">
        <v>837</v>
      </c>
      <c r="P245" s="3" t="s">
        <v>34</v>
      </c>
      <c r="Q245" s="6">
        <v>113.7</v>
      </c>
      <c r="R245" s="6">
        <v>113.7</v>
      </c>
      <c r="S245" s="5">
        <v>46195</v>
      </c>
      <c r="T245" s="3" t="s">
        <v>66</v>
      </c>
      <c r="U245" s="3" t="s">
        <v>79</v>
      </c>
      <c r="V245" s="3" t="s">
        <v>55</v>
      </c>
      <c r="W245" s="3" t="s">
        <v>32</v>
      </c>
      <c r="X245" s="3" t="s">
        <v>35</v>
      </c>
      <c r="Y245" s="3">
        <v>100281</v>
      </c>
      <c r="Z245" s="3" t="s">
        <v>322</v>
      </c>
      <c r="AA245" s="3">
        <v>100281</v>
      </c>
      <c r="AB245" s="3" t="s">
        <v>322</v>
      </c>
      <c r="AC245" s="4">
        <f ca="1">TODAY()-Open[[#This Row],[Status Date]]</f>
        <v>9</v>
      </c>
      <c r="AD245" s="3" t="s">
        <v>91</v>
      </c>
      <c r="AE245" t="str">
        <f t="shared" si="3"/>
        <v>Grace Whitaker</v>
      </c>
      <c r="AF245" t="s">
        <v>1055</v>
      </c>
    </row>
    <row r="246" spans="1:32" x14ac:dyDescent="0.3">
      <c r="A246" s="3" t="s">
        <v>81</v>
      </c>
      <c r="B246" s="3" t="s">
        <v>82</v>
      </c>
      <c r="C246" s="3" t="s">
        <v>83</v>
      </c>
      <c r="D246" s="5">
        <v>46163</v>
      </c>
      <c r="E246" s="5">
        <v>46163</v>
      </c>
      <c r="F246" s="3" t="s">
        <v>69</v>
      </c>
      <c r="G246" s="3" t="s">
        <v>84</v>
      </c>
      <c r="H246" s="4">
        <v>29</v>
      </c>
      <c r="I246" s="4">
        <v>4768753</v>
      </c>
      <c r="J246" s="3" t="s">
        <v>478</v>
      </c>
      <c r="K246" s="3" t="s">
        <v>479</v>
      </c>
      <c r="L246" s="3" t="s">
        <v>480</v>
      </c>
      <c r="M246" s="5">
        <v>46134</v>
      </c>
      <c r="N246" s="3" t="s">
        <v>836</v>
      </c>
      <c r="O246" s="3" t="s">
        <v>837</v>
      </c>
      <c r="P246" s="3" t="s">
        <v>34</v>
      </c>
      <c r="Q246" s="6">
        <v>109.44</v>
      </c>
      <c r="R246" s="6">
        <v>109.44</v>
      </c>
      <c r="S246" s="5">
        <v>46195</v>
      </c>
      <c r="T246" s="3" t="s">
        <v>66</v>
      </c>
      <c r="U246" s="3" t="s">
        <v>79</v>
      </c>
      <c r="V246" s="3" t="s">
        <v>55</v>
      </c>
      <c r="W246" s="3" t="s">
        <v>32</v>
      </c>
      <c r="X246" s="3" t="s">
        <v>35</v>
      </c>
      <c r="Y246" s="3">
        <v>100111</v>
      </c>
      <c r="Z246" s="3" t="s">
        <v>90</v>
      </c>
      <c r="AA246" s="3">
        <v>100111</v>
      </c>
      <c r="AB246" s="3" t="s">
        <v>90</v>
      </c>
      <c r="AC246" s="4">
        <f ca="1">TODAY()-Open[[#This Row],[Status Date]]</f>
        <v>9</v>
      </c>
      <c r="AD246" s="3" t="s">
        <v>91</v>
      </c>
      <c r="AE246" t="str">
        <f t="shared" si="3"/>
        <v>Andrew Ross</v>
      </c>
      <c r="AF246" t="s">
        <v>1055</v>
      </c>
    </row>
    <row r="247" spans="1:32" x14ac:dyDescent="0.3">
      <c r="A247" s="3" t="s">
        <v>81</v>
      </c>
      <c r="B247" s="3" t="s">
        <v>82</v>
      </c>
      <c r="C247" s="3" t="s">
        <v>83</v>
      </c>
      <c r="D247" s="5">
        <v>46163</v>
      </c>
      <c r="E247" s="5">
        <v>46163</v>
      </c>
      <c r="F247" s="3" t="s">
        <v>69</v>
      </c>
      <c r="G247" s="3" t="s">
        <v>84</v>
      </c>
      <c r="H247" s="4">
        <v>29</v>
      </c>
      <c r="I247" s="4">
        <v>4769031</v>
      </c>
      <c r="J247" s="3" t="s">
        <v>1016</v>
      </c>
      <c r="K247" s="3" t="s">
        <v>481</v>
      </c>
      <c r="L247" s="3" t="s">
        <v>482</v>
      </c>
      <c r="M247" s="5">
        <v>46134</v>
      </c>
      <c r="N247" s="3" t="s">
        <v>836</v>
      </c>
      <c r="O247" s="3" t="s">
        <v>837</v>
      </c>
      <c r="P247" s="3" t="s">
        <v>34</v>
      </c>
      <c r="Q247" s="6">
        <v>113.7</v>
      </c>
      <c r="R247" s="6">
        <v>113.7</v>
      </c>
      <c r="S247" s="5">
        <v>46195</v>
      </c>
      <c r="T247" s="3" t="s">
        <v>66</v>
      </c>
      <c r="U247" s="3" t="s">
        <v>79</v>
      </c>
      <c r="V247" s="3" t="s">
        <v>55</v>
      </c>
      <c r="W247" s="3" t="s">
        <v>32</v>
      </c>
      <c r="X247" s="3" t="s">
        <v>35</v>
      </c>
      <c r="Y247" s="3">
        <v>100121</v>
      </c>
      <c r="Z247" s="3" t="s">
        <v>103</v>
      </c>
      <c r="AA247" s="3">
        <v>100121</v>
      </c>
      <c r="AB247" s="3" t="s">
        <v>103</v>
      </c>
      <c r="AC247" s="4">
        <f ca="1">TODAY()-Open[[#This Row],[Status Date]]</f>
        <v>9</v>
      </c>
      <c r="AD247" s="3" t="s">
        <v>91</v>
      </c>
      <c r="AE247" t="str">
        <f t="shared" si="3"/>
        <v>Olivia Jenkins</v>
      </c>
      <c r="AF247" t="s">
        <v>1055</v>
      </c>
    </row>
    <row r="248" spans="1:32" x14ac:dyDescent="0.3">
      <c r="A248" s="3" t="s">
        <v>81</v>
      </c>
      <c r="B248" s="3" t="s">
        <v>82</v>
      </c>
      <c r="C248" s="3" t="s">
        <v>83</v>
      </c>
      <c r="D248" s="5">
        <v>46163</v>
      </c>
      <c r="E248" s="5">
        <v>46163</v>
      </c>
      <c r="F248" s="3" t="s">
        <v>69</v>
      </c>
      <c r="G248" s="3" t="s">
        <v>84</v>
      </c>
      <c r="H248" s="4">
        <v>29</v>
      </c>
      <c r="I248" s="4">
        <v>4769309</v>
      </c>
      <c r="J248" s="3" t="s">
        <v>483</v>
      </c>
      <c r="K248" s="3" t="s">
        <v>484</v>
      </c>
      <c r="L248" s="3" t="s">
        <v>485</v>
      </c>
      <c r="M248" s="5">
        <v>46121</v>
      </c>
      <c r="N248" s="3" t="s">
        <v>836</v>
      </c>
      <c r="O248" s="3" t="s">
        <v>837</v>
      </c>
      <c r="P248" s="3" t="s">
        <v>34</v>
      </c>
      <c r="Q248" s="6">
        <v>680</v>
      </c>
      <c r="R248" s="6">
        <v>680</v>
      </c>
      <c r="S248" s="5">
        <v>46195</v>
      </c>
      <c r="T248" s="3" t="s">
        <v>66</v>
      </c>
      <c r="U248" s="3" t="s">
        <v>79</v>
      </c>
      <c r="V248" s="3" t="s">
        <v>55</v>
      </c>
      <c r="W248" s="3" t="s">
        <v>32</v>
      </c>
      <c r="X248" s="3" t="s">
        <v>35</v>
      </c>
      <c r="Y248" s="3">
        <v>100151</v>
      </c>
      <c r="Z248" s="3" t="s">
        <v>108</v>
      </c>
      <c r="AA248" s="3">
        <v>100151</v>
      </c>
      <c r="AB248" s="3" t="s">
        <v>108</v>
      </c>
      <c r="AC248" s="4">
        <f ca="1">TODAY()-Open[[#This Row],[Status Date]]</f>
        <v>9</v>
      </c>
      <c r="AD248" s="3" t="s">
        <v>91</v>
      </c>
      <c r="AE248" t="str">
        <f t="shared" si="3"/>
        <v>Mason Reynolds</v>
      </c>
      <c r="AF248" t="s">
        <v>1055</v>
      </c>
    </row>
    <row r="249" spans="1:32" x14ac:dyDescent="0.3">
      <c r="A249" s="3" t="s">
        <v>81</v>
      </c>
      <c r="B249" s="3" t="s">
        <v>82</v>
      </c>
      <c r="C249" s="3" t="s">
        <v>83</v>
      </c>
      <c r="D249" s="5">
        <v>46163</v>
      </c>
      <c r="E249" s="5">
        <v>46163</v>
      </c>
      <c r="F249" s="3" t="s">
        <v>69</v>
      </c>
      <c r="G249" s="3" t="s">
        <v>84</v>
      </c>
      <c r="H249" s="4">
        <v>29</v>
      </c>
      <c r="I249" s="4">
        <v>4769588</v>
      </c>
      <c r="J249" s="3" t="s">
        <v>486</v>
      </c>
      <c r="K249" s="3" t="s">
        <v>487</v>
      </c>
      <c r="L249" s="3" t="s">
        <v>488</v>
      </c>
      <c r="M249" s="5">
        <v>46120</v>
      </c>
      <c r="N249" s="3" t="s">
        <v>836</v>
      </c>
      <c r="O249" s="3" t="s">
        <v>837</v>
      </c>
      <c r="P249" s="3" t="s">
        <v>34</v>
      </c>
      <c r="Q249" s="6">
        <v>124.05</v>
      </c>
      <c r="R249" s="6">
        <v>124.05</v>
      </c>
      <c r="S249" s="5">
        <v>46195</v>
      </c>
      <c r="T249" s="3" t="s">
        <v>66</v>
      </c>
      <c r="U249" s="3" t="s">
        <v>79</v>
      </c>
      <c r="V249" s="3" t="s">
        <v>55</v>
      </c>
      <c r="W249" s="3" t="s">
        <v>32</v>
      </c>
      <c r="X249" s="3" t="s">
        <v>35</v>
      </c>
      <c r="Y249" s="3">
        <v>100161</v>
      </c>
      <c r="Z249" s="3" t="s">
        <v>132</v>
      </c>
      <c r="AA249" s="3">
        <v>100161</v>
      </c>
      <c r="AB249" s="3" t="s">
        <v>132</v>
      </c>
      <c r="AC249" s="4">
        <f ca="1">TODAY()-Open[[#This Row],[Status Date]]</f>
        <v>9</v>
      </c>
      <c r="AD249" s="3" t="s">
        <v>91</v>
      </c>
      <c r="AE249" t="str">
        <f t="shared" si="3"/>
        <v>Connor Bishop</v>
      </c>
      <c r="AF249" t="s">
        <v>1055</v>
      </c>
    </row>
    <row r="250" spans="1:32" x14ac:dyDescent="0.3">
      <c r="A250" s="3" t="s">
        <v>81</v>
      </c>
      <c r="B250" s="3" t="s">
        <v>82</v>
      </c>
      <c r="C250" s="3" t="s">
        <v>83</v>
      </c>
      <c r="D250" s="5">
        <v>46163</v>
      </c>
      <c r="E250" s="5">
        <v>46163</v>
      </c>
      <c r="F250" s="3" t="s">
        <v>69</v>
      </c>
      <c r="G250" s="3" t="s">
        <v>84</v>
      </c>
      <c r="H250" s="4">
        <v>29</v>
      </c>
      <c r="I250" s="4">
        <v>4769866</v>
      </c>
      <c r="J250" s="3" t="s">
        <v>489</v>
      </c>
      <c r="K250" s="3" t="s">
        <v>490</v>
      </c>
      <c r="L250" s="3" t="s">
        <v>491</v>
      </c>
      <c r="M250" s="5">
        <v>46121</v>
      </c>
      <c r="N250" s="3" t="s">
        <v>836</v>
      </c>
      <c r="O250" s="3" t="s">
        <v>837</v>
      </c>
      <c r="P250" s="3" t="s">
        <v>34</v>
      </c>
      <c r="Q250" s="6">
        <v>340</v>
      </c>
      <c r="R250" s="6">
        <v>340</v>
      </c>
      <c r="S250" s="5">
        <v>46195</v>
      </c>
      <c r="T250" s="3" t="s">
        <v>66</v>
      </c>
      <c r="U250" s="3" t="s">
        <v>79</v>
      </c>
      <c r="V250" s="3" t="s">
        <v>55</v>
      </c>
      <c r="W250" s="3" t="s">
        <v>32</v>
      </c>
      <c r="X250" s="3" t="s">
        <v>35</v>
      </c>
      <c r="Y250" s="3">
        <v>100191</v>
      </c>
      <c r="Z250" s="3" t="s">
        <v>137</v>
      </c>
      <c r="AA250" s="3">
        <v>100191</v>
      </c>
      <c r="AB250" s="3" t="s">
        <v>137</v>
      </c>
      <c r="AC250" s="4">
        <f ca="1">TODAY()-Open[[#This Row],[Status Date]]</f>
        <v>9</v>
      </c>
      <c r="AD250" s="3" t="s">
        <v>91</v>
      </c>
      <c r="AE250" t="str">
        <f t="shared" si="3"/>
        <v>Dominic Flores</v>
      </c>
      <c r="AF250" t="s">
        <v>1055</v>
      </c>
    </row>
    <row r="251" spans="1:32" x14ac:dyDescent="0.3">
      <c r="A251" s="3" t="s">
        <v>81</v>
      </c>
      <c r="B251" s="3" t="s">
        <v>82</v>
      </c>
      <c r="C251" s="3" t="s">
        <v>83</v>
      </c>
      <c r="D251" s="5">
        <v>46163</v>
      </c>
      <c r="E251" s="5">
        <v>46163</v>
      </c>
      <c r="F251" s="3" t="s">
        <v>69</v>
      </c>
      <c r="G251" s="3" t="s">
        <v>84</v>
      </c>
      <c r="H251" s="4">
        <v>29</v>
      </c>
      <c r="I251" s="4">
        <v>4770144</v>
      </c>
      <c r="J251" s="3" t="s">
        <v>492</v>
      </c>
      <c r="K251" s="3" t="s">
        <v>493</v>
      </c>
      <c r="L251" s="3" t="s">
        <v>494</v>
      </c>
      <c r="M251" s="5">
        <v>46129</v>
      </c>
      <c r="N251" s="3" t="s">
        <v>836</v>
      </c>
      <c r="O251" s="3" t="s">
        <v>837</v>
      </c>
      <c r="P251" s="3" t="s">
        <v>34</v>
      </c>
      <c r="Q251" s="6">
        <v>341</v>
      </c>
      <c r="R251" s="6">
        <v>341</v>
      </c>
      <c r="S251" s="5">
        <v>46195</v>
      </c>
      <c r="T251" s="3" t="s">
        <v>66</v>
      </c>
      <c r="U251" s="3" t="s">
        <v>79</v>
      </c>
      <c r="V251" s="3" t="s">
        <v>55</v>
      </c>
      <c r="W251" s="3" t="s">
        <v>32</v>
      </c>
      <c r="X251" s="3" t="s">
        <v>35</v>
      </c>
      <c r="Y251" s="3">
        <v>100201</v>
      </c>
      <c r="Z251" s="3" t="s">
        <v>306</v>
      </c>
      <c r="AA251" s="3">
        <v>100201</v>
      </c>
      <c r="AB251" s="3" t="s">
        <v>306</v>
      </c>
      <c r="AC251" s="4">
        <f ca="1">TODAY()-Open[[#This Row],[Status Date]]</f>
        <v>9</v>
      </c>
      <c r="AD251" s="3" t="s">
        <v>91</v>
      </c>
      <c r="AE251" t="str">
        <f t="shared" si="3"/>
        <v>Aiden Harper</v>
      </c>
      <c r="AF251" t="s">
        <v>1055</v>
      </c>
    </row>
    <row r="252" spans="1:32" x14ac:dyDescent="0.3">
      <c r="A252" s="3" t="s">
        <v>81</v>
      </c>
      <c r="B252" s="3" t="s">
        <v>82</v>
      </c>
      <c r="C252" s="3" t="s">
        <v>83</v>
      </c>
      <c r="D252" s="5">
        <v>46170</v>
      </c>
      <c r="E252" s="5">
        <v>46189</v>
      </c>
      <c r="F252" s="3" t="s">
        <v>69</v>
      </c>
      <c r="G252" s="3" t="s">
        <v>84</v>
      </c>
      <c r="H252" s="4">
        <v>22</v>
      </c>
      <c r="I252" s="4">
        <v>4837211</v>
      </c>
      <c r="J252" s="3" t="s">
        <v>618</v>
      </c>
      <c r="K252" s="3" t="s">
        <v>619</v>
      </c>
      <c r="L252" s="3" t="s">
        <v>620</v>
      </c>
      <c r="M252" s="5">
        <v>46035</v>
      </c>
      <c r="N252" s="3" t="s">
        <v>1017</v>
      </c>
      <c r="O252" s="3" t="s">
        <v>1018</v>
      </c>
      <c r="P252" s="3" t="s">
        <v>64</v>
      </c>
      <c r="Q252" s="6">
        <v>314.39</v>
      </c>
      <c r="R252" s="6">
        <v>314.39</v>
      </c>
      <c r="S252" s="5">
        <v>46188</v>
      </c>
      <c r="T252" s="3" t="s">
        <v>73</v>
      </c>
      <c r="U252" s="3" t="s">
        <v>824</v>
      </c>
      <c r="V252" s="3" t="s">
        <v>55</v>
      </c>
      <c r="W252" s="3" t="s">
        <v>32</v>
      </c>
      <c r="X252" s="3" t="s">
        <v>65</v>
      </c>
      <c r="Y252" s="3">
        <v>100291</v>
      </c>
      <c r="Z252" s="3" t="s">
        <v>1019</v>
      </c>
      <c r="AA252" s="3">
        <v>100111</v>
      </c>
      <c r="AB252" s="3" t="s">
        <v>90</v>
      </c>
      <c r="AC252" s="4">
        <f ca="1">TODAY()-Open[[#This Row],[Status Date]]</f>
        <v>16</v>
      </c>
      <c r="AD252" s="3" t="s">
        <v>91</v>
      </c>
      <c r="AE252" t="str">
        <f t="shared" si="3"/>
        <v>Andrew Ross</v>
      </c>
      <c r="AF252" t="s">
        <v>1066</v>
      </c>
    </row>
    <row r="253" spans="1:32" x14ac:dyDescent="0.3">
      <c r="A253" s="3" t="s">
        <v>81</v>
      </c>
      <c r="B253" s="3" t="s">
        <v>82</v>
      </c>
      <c r="C253" s="3" t="s">
        <v>83</v>
      </c>
      <c r="D253" s="5">
        <v>46170</v>
      </c>
      <c r="E253" s="5">
        <v>46170</v>
      </c>
      <c r="F253" s="3" t="s">
        <v>69</v>
      </c>
      <c r="G253" s="3" t="s">
        <v>84</v>
      </c>
      <c r="H253" s="4">
        <v>22</v>
      </c>
      <c r="I253" s="4">
        <v>4839437</v>
      </c>
      <c r="J253" s="3" t="s">
        <v>621</v>
      </c>
      <c r="K253" s="3" t="s">
        <v>622</v>
      </c>
      <c r="L253" s="3" t="s">
        <v>623</v>
      </c>
      <c r="M253" s="5">
        <v>46140</v>
      </c>
      <c r="N253" s="3" t="s">
        <v>663</v>
      </c>
      <c r="O253" s="3" t="s">
        <v>664</v>
      </c>
      <c r="P253" s="3" t="s">
        <v>40</v>
      </c>
      <c r="Q253" s="6">
        <v>223600</v>
      </c>
      <c r="R253" s="6">
        <v>223600</v>
      </c>
      <c r="S253" s="5">
        <v>46188</v>
      </c>
      <c r="T253" s="3" t="s">
        <v>66</v>
      </c>
      <c r="U253" s="3" t="s">
        <v>79</v>
      </c>
      <c r="V253" s="3" t="s">
        <v>55</v>
      </c>
      <c r="W253" s="3" t="s">
        <v>32</v>
      </c>
      <c r="X253" s="3" t="s">
        <v>41</v>
      </c>
      <c r="Y253" s="3">
        <v>100231</v>
      </c>
      <c r="Z253" s="3" t="s">
        <v>310</v>
      </c>
      <c r="AA253" s="3">
        <v>100231</v>
      </c>
      <c r="AB253" s="3" t="s">
        <v>310</v>
      </c>
      <c r="AC253" s="4">
        <f ca="1">TODAY()-Open[[#This Row],[Status Date]]</f>
        <v>16</v>
      </c>
      <c r="AD253" s="3" t="s">
        <v>91</v>
      </c>
      <c r="AE253" t="str">
        <f t="shared" si="3"/>
        <v>Jackson Norris</v>
      </c>
      <c r="AF253" t="s">
        <v>1060</v>
      </c>
    </row>
    <row r="254" spans="1:32" x14ac:dyDescent="0.3">
      <c r="A254" s="3" t="s">
        <v>81</v>
      </c>
      <c r="B254" s="3" t="s">
        <v>82</v>
      </c>
      <c r="C254" s="3" t="s">
        <v>83</v>
      </c>
      <c r="D254" s="5">
        <v>46170</v>
      </c>
      <c r="E254" s="5">
        <v>46170</v>
      </c>
      <c r="F254" s="3" t="s">
        <v>69</v>
      </c>
      <c r="G254" s="3" t="s">
        <v>84</v>
      </c>
      <c r="H254" s="4">
        <v>22</v>
      </c>
      <c r="I254" s="4">
        <v>4839715</v>
      </c>
      <c r="J254" s="3" t="s">
        <v>624</v>
      </c>
      <c r="K254" s="3" t="s">
        <v>625</v>
      </c>
      <c r="L254" s="3" t="s">
        <v>626</v>
      </c>
      <c r="M254" s="5">
        <v>46150</v>
      </c>
      <c r="N254" s="3" t="s">
        <v>663</v>
      </c>
      <c r="O254" s="3" t="s">
        <v>664</v>
      </c>
      <c r="P254" s="3" t="s">
        <v>40</v>
      </c>
      <c r="Q254" s="6">
        <v>89440</v>
      </c>
      <c r="R254" s="6">
        <v>89440</v>
      </c>
      <c r="S254" s="5">
        <v>46188</v>
      </c>
      <c r="T254" s="3" t="s">
        <v>66</v>
      </c>
      <c r="U254" s="3" t="s">
        <v>79</v>
      </c>
      <c r="V254" s="3" t="s">
        <v>55</v>
      </c>
      <c r="W254" s="3" t="s">
        <v>32</v>
      </c>
      <c r="X254" s="3" t="s">
        <v>41</v>
      </c>
      <c r="Y254" s="3">
        <v>100241</v>
      </c>
      <c r="Z254" s="3" t="s">
        <v>314</v>
      </c>
      <c r="AA254" s="3">
        <v>100241</v>
      </c>
      <c r="AB254" s="3" t="s">
        <v>314</v>
      </c>
      <c r="AC254" s="4">
        <f ca="1">TODAY()-Open[[#This Row],[Status Date]]</f>
        <v>16</v>
      </c>
      <c r="AD254" s="3" t="s">
        <v>91</v>
      </c>
      <c r="AE254" t="str">
        <f t="shared" si="3"/>
        <v>Leah Pearson</v>
      </c>
      <c r="AF254" t="s">
        <v>1060</v>
      </c>
    </row>
    <row r="255" spans="1:32" x14ac:dyDescent="0.3">
      <c r="A255" s="3" t="s">
        <v>81</v>
      </c>
      <c r="B255" s="3" t="s">
        <v>82</v>
      </c>
      <c r="C255" s="3" t="s">
        <v>83</v>
      </c>
      <c r="D255" s="5">
        <v>46174</v>
      </c>
      <c r="E255" s="5">
        <v>46188</v>
      </c>
      <c r="F255" s="3" t="s">
        <v>69</v>
      </c>
      <c r="G255" s="3" t="s">
        <v>84</v>
      </c>
      <c r="H255" s="4">
        <v>18</v>
      </c>
      <c r="I255" s="4">
        <v>4857525</v>
      </c>
      <c r="J255" s="3" t="s">
        <v>633</v>
      </c>
      <c r="K255" s="3" t="s">
        <v>634</v>
      </c>
      <c r="L255" s="3" t="s">
        <v>635</v>
      </c>
      <c r="M255" s="5">
        <v>46170</v>
      </c>
      <c r="N255" s="3" t="s">
        <v>1020</v>
      </c>
      <c r="O255" s="3" t="s">
        <v>1021</v>
      </c>
      <c r="P255" s="3" t="s">
        <v>42</v>
      </c>
      <c r="Q255" s="6">
        <v>9917.3799999999992</v>
      </c>
      <c r="R255" s="6">
        <v>9917.3799999999992</v>
      </c>
      <c r="S255" s="5">
        <v>46195</v>
      </c>
      <c r="T255" s="3" t="s">
        <v>74</v>
      </c>
      <c r="U255" s="3" t="s">
        <v>75</v>
      </c>
      <c r="V255" s="3" t="s">
        <v>55</v>
      </c>
      <c r="W255" s="3" t="s">
        <v>32</v>
      </c>
      <c r="X255" s="3" t="s">
        <v>43</v>
      </c>
      <c r="Y255" s="3">
        <v>100131</v>
      </c>
      <c r="Z255" s="3" t="s">
        <v>98</v>
      </c>
      <c r="AA255" s="3">
        <v>100111</v>
      </c>
      <c r="AB255" s="3" t="s">
        <v>90</v>
      </c>
      <c r="AC255" s="4">
        <f ca="1">TODAY()-Open[[#This Row],[Status Date]]</f>
        <v>9</v>
      </c>
      <c r="AD255" s="3" t="s">
        <v>91</v>
      </c>
      <c r="AE255" t="str">
        <f t="shared" si="3"/>
        <v>Andrew Ross</v>
      </c>
      <c r="AF255" t="s">
        <v>1067</v>
      </c>
    </row>
    <row r="256" spans="1:32" x14ac:dyDescent="0.3">
      <c r="A256" s="3" t="s">
        <v>81</v>
      </c>
      <c r="B256" s="3" t="s">
        <v>82</v>
      </c>
      <c r="C256" s="3" t="s">
        <v>83</v>
      </c>
      <c r="D256" s="5">
        <v>46176</v>
      </c>
      <c r="E256" s="5">
        <v>46176</v>
      </c>
      <c r="F256" s="3" t="s">
        <v>69</v>
      </c>
      <c r="G256" s="3" t="s">
        <v>84</v>
      </c>
      <c r="H256" s="4">
        <v>16</v>
      </c>
      <c r="I256" s="4">
        <v>4867544</v>
      </c>
      <c r="J256" s="3" t="s">
        <v>642</v>
      </c>
      <c r="K256" s="3" t="s">
        <v>643</v>
      </c>
      <c r="L256" s="3" t="s">
        <v>644</v>
      </c>
      <c r="M256" s="5">
        <v>46062</v>
      </c>
      <c r="N256" s="3" t="s">
        <v>836</v>
      </c>
      <c r="O256" s="3" t="s">
        <v>837</v>
      </c>
      <c r="P256" s="3" t="s">
        <v>44</v>
      </c>
      <c r="Q256" s="6">
        <v>1360</v>
      </c>
      <c r="R256" s="6">
        <v>1360</v>
      </c>
      <c r="S256" s="5">
        <v>46195</v>
      </c>
      <c r="T256" s="3" t="s">
        <v>72</v>
      </c>
      <c r="U256" s="3" t="s">
        <v>112</v>
      </c>
      <c r="V256" s="3" t="s">
        <v>55</v>
      </c>
      <c r="W256" s="3" t="s">
        <v>32</v>
      </c>
      <c r="X256" s="3" t="s">
        <v>45</v>
      </c>
      <c r="Y256" s="3">
        <v>100221</v>
      </c>
      <c r="Z256" s="3" t="s">
        <v>131</v>
      </c>
      <c r="AA256" s="3">
        <v>100161</v>
      </c>
      <c r="AB256" s="3" t="s">
        <v>132</v>
      </c>
      <c r="AC256" s="4">
        <f ca="1">TODAY()-Open[[#This Row],[Status Date]]</f>
        <v>9</v>
      </c>
      <c r="AD256" s="3" t="s">
        <v>91</v>
      </c>
      <c r="AE256" t="str">
        <f t="shared" si="3"/>
        <v>Connor Bishop</v>
      </c>
      <c r="AF256" t="s">
        <v>1053</v>
      </c>
    </row>
    <row r="257" spans="1:32" x14ac:dyDescent="0.3">
      <c r="A257" s="3" t="s">
        <v>81</v>
      </c>
      <c r="B257" s="3" t="s">
        <v>82</v>
      </c>
      <c r="C257" s="3" t="s">
        <v>83</v>
      </c>
      <c r="D257" s="5">
        <v>46177</v>
      </c>
      <c r="E257" s="5">
        <v>46177</v>
      </c>
      <c r="F257" s="3" t="s">
        <v>69</v>
      </c>
      <c r="G257" s="3" t="s">
        <v>84</v>
      </c>
      <c r="H257" s="4">
        <v>15</v>
      </c>
      <c r="I257" s="4">
        <v>4869492</v>
      </c>
      <c r="J257" s="3" t="s">
        <v>645</v>
      </c>
      <c r="K257" s="3" t="s">
        <v>646</v>
      </c>
      <c r="L257" s="3" t="s">
        <v>647</v>
      </c>
      <c r="M257" s="5">
        <v>46174</v>
      </c>
      <c r="N257" s="3" t="s">
        <v>663</v>
      </c>
      <c r="O257" s="3" t="s">
        <v>664</v>
      </c>
      <c r="P257" s="3" t="s">
        <v>44</v>
      </c>
      <c r="Q257" s="6">
        <v>304.44</v>
      </c>
      <c r="R257" s="6">
        <v>304.44</v>
      </c>
      <c r="S257" s="5">
        <v>46188</v>
      </c>
      <c r="T257" s="3" t="s">
        <v>72</v>
      </c>
      <c r="U257" s="3" t="s">
        <v>112</v>
      </c>
      <c r="V257" s="3" t="s">
        <v>55</v>
      </c>
      <c r="W257" s="3" t="s">
        <v>32</v>
      </c>
      <c r="X257" s="3" t="s">
        <v>45</v>
      </c>
      <c r="Y257" s="3">
        <v>100261</v>
      </c>
      <c r="Z257" s="3" t="s">
        <v>136</v>
      </c>
      <c r="AA257" s="3">
        <v>100191</v>
      </c>
      <c r="AB257" s="3" t="s">
        <v>137</v>
      </c>
      <c r="AC257" s="4">
        <f ca="1">TODAY()-Open[[#This Row],[Status Date]]</f>
        <v>16</v>
      </c>
      <c r="AD257" s="3" t="s">
        <v>91</v>
      </c>
      <c r="AE257" t="str">
        <f t="shared" si="3"/>
        <v>Dominic Flores</v>
      </c>
      <c r="AF257" t="s">
        <v>1053</v>
      </c>
    </row>
    <row r="258" spans="1:32" x14ac:dyDescent="0.3">
      <c r="A258" s="3" t="s">
        <v>81</v>
      </c>
      <c r="B258" s="3" t="s">
        <v>82</v>
      </c>
      <c r="C258" s="3" t="s">
        <v>83</v>
      </c>
      <c r="D258" s="5">
        <v>46177</v>
      </c>
      <c r="E258" s="5">
        <v>46177</v>
      </c>
      <c r="F258" s="3" t="s">
        <v>69</v>
      </c>
      <c r="G258" s="3" t="s">
        <v>84</v>
      </c>
      <c r="H258" s="4">
        <v>15</v>
      </c>
      <c r="I258" s="4">
        <v>4869770</v>
      </c>
      <c r="J258" s="3" t="s">
        <v>648</v>
      </c>
      <c r="K258" s="3" t="s">
        <v>649</v>
      </c>
      <c r="L258" s="3" t="s">
        <v>650</v>
      </c>
      <c r="M258" s="5">
        <v>46174</v>
      </c>
      <c r="N258" s="3" t="s">
        <v>663</v>
      </c>
      <c r="O258" s="3" t="s">
        <v>664</v>
      </c>
      <c r="P258" s="3" t="s">
        <v>44</v>
      </c>
      <c r="Q258" s="6">
        <v>31.3</v>
      </c>
      <c r="R258" s="6">
        <v>31.3</v>
      </c>
      <c r="S258" s="5">
        <v>46188</v>
      </c>
      <c r="T258" s="3" t="s">
        <v>72</v>
      </c>
      <c r="U258" s="3" t="s">
        <v>112</v>
      </c>
      <c r="V258" s="3" t="s">
        <v>55</v>
      </c>
      <c r="W258" s="3" t="s">
        <v>32</v>
      </c>
      <c r="X258" s="3" t="s">
        <v>45</v>
      </c>
      <c r="Y258" s="3">
        <v>100101</v>
      </c>
      <c r="Z258" s="3" t="s">
        <v>113</v>
      </c>
      <c r="AA258" s="3">
        <v>100111</v>
      </c>
      <c r="AB258" s="3" t="s">
        <v>90</v>
      </c>
      <c r="AC258" s="4">
        <f ca="1">TODAY()-Open[[#This Row],[Status Date]]</f>
        <v>16</v>
      </c>
      <c r="AD258" s="3" t="s">
        <v>91</v>
      </c>
      <c r="AE258" t="str">
        <f t="shared" ref="AE258:AE305" si="4">AB258</f>
        <v>Andrew Ross</v>
      </c>
      <c r="AF258" t="s">
        <v>1053</v>
      </c>
    </row>
    <row r="259" spans="1:32" x14ac:dyDescent="0.3">
      <c r="A259" s="3" t="s">
        <v>81</v>
      </c>
      <c r="B259" s="3" t="s">
        <v>82</v>
      </c>
      <c r="C259" s="3" t="s">
        <v>83</v>
      </c>
      <c r="D259" s="5">
        <v>46177</v>
      </c>
      <c r="E259" s="5">
        <v>46177</v>
      </c>
      <c r="F259" s="3" t="s">
        <v>69</v>
      </c>
      <c r="G259" s="3" t="s">
        <v>84</v>
      </c>
      <c r="H259" s="4">
        <v>15</v>
      </c>
      <c r="I259" s="4">
        <v>4870048</v>
      </c>
      <c r="J259" s="3" t="s">
        <v>651</v>
      </c>
      <c r="K259" s="3" t="s">
        <v>652</v>
      </c>
      <c r="L259" s="3" t="s">
        <v>653</v>
      </c>
      <c r="M259" s="5">
        <v>46174</v>
      </c>
      <c r="N259" s="3" t="s">
        <v>663</v>
      </c>
      <c r="O259" s="3" t="s">
        <v>664</v>
      </c>
      <c r="P259" s="3" t="s">
        <v>44</v>
      </c>
      <c r="Q259" s="6">
        <v>31.3</v>
      </c>
      <c r="R259" s="6">
        <v>31.3</v>
      </c>
      <c r="S259" s="5">
        <v>46188</v>
      </c>
      <c r="T259" s="3" t="s">
        <v>72</v>
      </c>
      <c r="U259" s="3" t="s">
        <v>112</v>
      </c>
      <c r="V259" s="3" t="s">
        <v>55</v>
      </c>
      <c r="W259" s="3" t="s">
        <v>32</v>
      </c>
      <c r="X259" s="3" t="s">
        <v>45</v>
      </c>
      <c r="Y259" s="3">
        <v>100141</v>
      </c>
      <c r="Z259" s="3" t="s">
        <v>123</v>
      </c>
      <c r="AA259" s="3">
        <v>100121</v>
      </c>
      <c r="AB259" s="3" t="s">
        <v>103</v>
      </c>
      <c r="AC259" s="4">
        <f ca="1">TODAY()-Open[[#This Row],[Status Date]]</f>
        <v>16</v>
      </c>
      <c r="AD259" s="3" t="s">
        <v>91</v>
      </c>
      <c r="AE259" t="str">
        <f t="shared" si="4"/>
        <v>Olivia Jenkins</v>
      </c>
      <c r="AF259" t="s">
        <v>1053</v>
      </c>
    </row>
    <row r="260" spans="1:32" x14ac:dyDescent="0.3">
      <c r="A260" s="3" t="s">
        <v>81</v>
      </c>
      <c r="B260" s="3" t="s">
        <v>82</v>
      </c>
      <c r="C260" s="3" t="s">
        <v>83</v>
      </c>
      <c r="D260" s="5">
        <v>46182</v>
      </c>
      <c r="E260" s="5">
        <v>46182</v>
      </c>
      <c r="F260" s="3" t="s">
        <v>69</v>
      </c>
      <c r="G260" s="3" t="s">
        <v>84</v>
      </c>
      <c r="H260" s="4">
        <v>10</v>
      </c>
      <c r="I260" s="4">
        <v>4899825</v>
      </c>
      <c r="J260" s="3" t="s">
        <v>671</v>
      </c>
      <c r="K260" s="3" t="s">
        <v>672</v>
      </c>
      <c r="L260" s="3" t="s">
        <v>673</v>
      </c>
      <c r="M260" s="5">
        <v>46181</v>
      </c>
      <c r="N260" s="3" t="s">
        <v>663</v>
      </c>
      <c r="O260" s="3" t="s">
        <v>664</v>
      </c>
      <c r="P260" s="3" t="s">
        <v>44</v>
      </c>
      <c r="Q260" s="6">
        <v>265</v>
      </c>
      <c r="R260" s="6">
        <v>265</v>
      </c>
      <c r="S260" s="5">
        <v>46188</v>
      </c>
      <c r="T260" s="3" t="s">
        <v>72</v>
      </c>
      <c r="U260" s="3" t="s">
        <v>112</v>
      </c>
      <c r="V260" s="3" t="s">
        <v>55</v>
      </c>
      <c r="W260" s="3" t="s">
        <v>32</v>
      </c>
      <c r="X260" s="3" t="s">
        <v>45</v>
      </c>
      <c r="Y260" s="3">
        <v>100181</v>
      </c>
      <c r="Z260" s="3" t="s">
        <v>127</v>
      </c>
      <c r="AA260" s="3">
        <v>100151</v>
      </c>
      <c r="AB260" s="3" t="s">
        <v>108</v>
      </c>
      <c r="AC260" s="4">
        <f ca="1">TODAY()-Open[[#This Row],[Status Date]]</f>
        <v>16</v>
      </c>
      <c r="AD260" s="3" t="s">
        <v>91</v>
      </c>
      <c r="AE260" t="str">
        <f t="shared" si="4"/>
        <v>Mason Reynolds</v>
      </c>
      <c r="AF260" t="s">
        <v>1053</v>
      </c>
    </row>
    <row r="261" spans="1:32" x14ac:dyDescent="0.3">
      <c r="A261" s="3" t="s">
        <v>81</v>
      </c>
      <c r="B261" s="3" t="s">
        <v>82</v>
      </c>
      <c r="C261" s="3" t="s">
        <v>83</v>
      </c>
      <c r="D261" s="5">
        <v>46182</v>
      </c>
      <c r="E261" s="5">
        <v>46183</v>
      </c>
      <c r="F261" s="3" t="s">
        <v>69</v>
      </c>
      <c r="G261" s="3" t="s">
        <v>84</v>
      </c>
      <c r="H261" s="4">
        <v>10</v>
      </c>
      <c r="I261" s="4">
        <v>4902051</v>
      </c>
      <c r="J261" s="3" t="s">
        <v>1022</v>
      </c>
      <c r="K261" s="3" t="s">
        <v>677</v>
      </c>
      <c r="L261" s="3" t="s">
        <v>678</v>
      </c>
      <c r="M261" s="5">
        <v>46140</v>
      </c>
      <c r="N261" s="3" t="s">
        <v>1023</v>
      </c>
      <c r="O261" s="3" t="s">
        <v>1024</v>
      </c>
      <c r="P261" s="3" t="s">
        <v>44</v>
      </c>
      <c r="Q261" s="6">
        <v>1883.67</v>
      </c>
      <c r="R261" s="6">
        <v>1883.67</v>
      </c>
      <c r="S261" s="5">
        <v>46188</v>
      </c>
      <c r="T261" s="3" t="s">
        <v>72</v>
      </c>
      <c r="U261" s="3" t="s">
        <v>112</v>
      </c>
      <c r="V261" s="3" t="s">
        <v>55</v>
      </c>
      <c r="W261" s="3" t="s">
        <v>32</v>
      </c>
      <c r="X261" s="3" t="s">
        <v>45</v>
      </c>
      <c r="Y261" s="3">
        <v>100221</v>
      </c>
      <c r="Z261" s="3" t="s">
        <v>131</v>
      </c>
      <c r="AA261" s="3">
        <v>100161</v>
      </c>
      <c r="AB261" s="3" t="s">
        <v>132</v>
      </c>
      <c r="AC261" s="4">
        <f ca="1">TODAY()-Open[[#This Row],[Status Date]]</f>
        <v>16</v>
      </c>
      <c r="AD261" s="3" t="s">
        <v>91</v>
      </c>
      <c r="AE261" t="str">
        <f t="shared" si="4"/>
        <v>Connor Bishop</v>
      </c>
      <c r="AF261" t="s">
        <v>1053</v>
      </c>
    </row>
    <row r="262" spans="1:32" x14ac:dyDescent="0.3">
      <c r="A262" s="3" t="s">
        <v>81</v>
      </c>
      <c r="B262" s="3" t="s">
        <v>82</v>
      </c>
      <c r="C262" s="3" t="s">
        <v>83</v>
      </c>
      <c r="D262" s="5">
        <v>46184</v>
      </c>
      <c r="E262" s="5">
        <v>46184</v>
      </c>
      <c r="F262" s="3" t="s">
        <v>69</v>
      </c>
      <c r="G262" s="3" t="s">
        <v>84</v>
      </c>
      <c r="H262" s="4">
        <v>8</v>
      </c>
      <c r="I262" s="4">
        <v>4915130</v>
      </c>
      <c r="J262" s="3" t="s">
        <v>682</v>
      </c>
      <c r="K262" s="3" t="s">
        <v>683</v>
      </c>
      <c r="L262" s="3" t="s">
        <v>684</v>
      </c>
      <c r="M262" s="5">
        <v>46105</v>
      </c>
      <c r="N262" s="3" t="s">
        <v>1025</v>
      </c>
      <c r="O262" s="3" t="s">
        <v>1026</v>
      </c>
      <c r="P262" s="3" t="s">
        <v>40</v>
      </c>
      <c r="Q262" s="6">
        <v>8568</v>
      </c>
      <c r="R262" s="6">
        <v>8568</v>
      </c>
      <c r="S262" s="5">
        <v>46195</v>
      </c>
      <c r="T262" s="3" t="s">
        <v>66</v>
      </c>
      <c r="U262" s="3" t="s">
        <v>79</v>
      </c>
      <c r="V262" s="3" t="s">
        <v>55</v>
      </c>
      <c r="W262" s="3" t="s">
        <v>32</v>
      </c>
      <c r="X262" s="3" t="s">
        <v>41</v>
      </c>
      <c r="Y262" s="3">
        <v>100271</v>
      </c>
      <c r="Z262" s="3" t="s">
        <v>318</v>
      </c>
      <c r="AA262" s="3">
        <v>100271</v>
      </c>
      <c r="AB262" s="3" t="s">
        <v>318</v>
      </c>
      <c r="AC262" s="4">
        <f ca="1">TODAY()-Open[[#This Row],[Status Date]]</f>
        <v>9</v>
      </c>
      <c r="AD262" s="3" t="s">
        <v>91</v>
      </c>
      <c r="AE262" t="str">
        <f t="shared" si="4"/>
        <v>Brooke Palmer</v>
      </c>
      <c r="AF262" t="s">
        <v>1060</v>
      </c>
    </row>
    <row r="263" spans="1:32" x14ac:dyDescent="0.3">
      <c r="A263" s="3" t="s">
        <v>81</v>
      </c>
      <c r="B263" s="3" t="s">
        <v>82</v>
      </c>
      <c r="C263" s="3" t="s">
        <v>83</v>
      </c>
      <c r="D263" s="5">
        <v>46189</v>
      </c>
      <c r="E263" s="5">
        <v>46189</v>
      </c>
      <c r="F263" s="3" t="s">
        <v>69</v>
      </c>
      <c r="G263" s="3" t="s">
        <v>84</v>
      </c>
      <c r="H263" s="4">
        <v>3</v>
      </c>
      <c r="I263" s="4">
        <v>4945742</v>
      </c>
      <c r="J263" s="3" t="s">
        <v>700</v>
      </c>
      <c r="K263" s="3" t="s">
        <v>701</v>
      </c>
      <c r="L263" s="3" t="s">
        <v>702</v>
      </c>
      <c r="M263" s="5">
        <v>46185</v>
      </c>
      <c r="N263" s="3" t="s">
        <v>663</v>
      </c>
      <c r="O263" s="3" t="s">
        <v>664</v>
      </c>
      <c r="P263" s="3" t="s">
        <v>44</v>
      </c>
      <c r="Q263" s="6">
        <v>19.14</v>
      </c>
      <c r="R263" s="6">
        <v>19.14</v>
      </c>
      <c r="S263" s="5">
        <v>46195</v>
      </c>
      <c r="T263" s="3" t="s">
        <v>72</v>
      </c>
      <c r="U263" s="3" t="s">
        <v>112</v>
      </c>
      <c r="V263" s="3" t="s">
        <v>55</v>
      </c>
      <c r="W263" s="3" t="s">
        <v>32</v>
      </c>
      <c r="X263" s="3" t="s">
        <v>45</v>
      </c>
      <c r="Y263" s="3">
        <v>100261</v>
      </c>
      <c r="Z263" s="3" t="s">
        <v>136</v>
      </c>
      <c r="AA263" s="3">
        <v>100191</v>
      </c>
      <c r="AB263" s="3" t="s">
        <v>137</v>
      </c>
      <c r="AC263" s="4">
        <f ca="1">TODAY()-Open[[#This Row],[Status Date]]</f>
        <v>9</v>
      </c>
      <c r="AD263" s="3" t="s">
        <v>91</v>
      </c>
      <c r="AE263" t="str">
        <f t="shared" si="4"/>
        <v>Dominic Flores</v>
      </c>
      <c r="AF263" t="s">
        <v>1053</v>
      </c>
    </row>
    <row r="264" spans="1:32" x14ac:dyDescent="0.3">
      <c r="A264" s="3" t="s">
        <v>81</v>
      </c>
      <c r="B264" s="3" t="s">
        <v>82</v>
      </c>
      <c r="C264" s="3" t="s">
        <v>83</v>
      </c>
      <c r="D264" s="5">
        <v>46189</v>
      </c>
      <c r="E264" s="5">
        <v>46189</v>
      </c>
      <c r="F264" s="3" t="s">
        <v>69</v>
      </c>
      <c r="G264" s="3" t="s">
        <v>84</v>
      </c>
      <c r="H264" s="4">
        <v>3</v>
      </c>
      <c r="I264" s="4">
        <v>4946020</v>
      </c>
      <c r="J264" s="3" t="s">
        <v>703</v>
      </c>
      <c r="K264" s="3" t="s">
        <v>704</v>
      </c>
      <c r="L264" s="3" t="s">
        <v>705</v>
      </c>
      <c r="M264" s="5">
        <v>46185</v>
      </c>
      <c r="N264" s="3" t="s">
        <v>663</v>
      </c>
      <c r="O264" s="3" t="s">
        <v>664</v>
      </c>
      <c r="P264" s="3" t="s">
        <v>44</v>
      </c>
      <c r="Q264" s="6">
        <v>10.050000000000001</v>
      </c>
      <c r="R264" s="6">
        <v>10.050000000000001</v>
      </c>
      <c r="S264" s="5">
        <v>46195</v>
      </c>
      <c r="T264" s="3" t="s">
        <v>72</v>
      </c>
      <c r="U264" s="3" t="s">
        <v>112</v>
      </c>
      <c r="V264" s="3" t="s">
        <v>55</v>
      </c>
      <c r="W264" s="3" t="s">
        <v>32</v>
      </c>
      <c r="X264" s="3" t="s">
        <v>45</v>
      </c>
      <c r="Y264" s="3">
        <v>100101</v>
      </c>
      <c r="Z264" s="3" t="s">
        <v>113</v>
      </c>
      <c r="AA264" s="3">
        <v>100111</v>
      </c>
      <c r="AB264" s="3" t="s">
        <v>90</v>
      </c>
      <c r="AC264" s="4">
        <f ca="1">TODAY()-Open[[#This Row],[Status Date]]</f>
        <v>9</v>
      </c>
      <c r="AD264" s="3" t="s">
        <v>91</v>
      </c>
      <c r="AE264" t="str">
        <f t="shared" si="4"/>
        <v>Andrew Ross</v>
      </c>
      <c r="AF264" t="s">
        <v>1053</v>
      </c>
    </row>
    <row r="265" spans="1:32" x14ac:dyDescent="0.3">
      <c r="A265" s="3" t="s">
        <v>81</v>
      </c>
      <c r="B265" s="3" t="s">
        <v>82</v>
      </c>
      <c r="C265" s="3" t="s">
        <v>83</v>
      </c>
      <c r="D265" s="5">
        <v>46189</v>
      </c>
      <c r="E265" s="5">
        <v>46189</v>
      </c>
      <c r="F265" s="3" t="s">
        <v>69</v>
      </c>
      <c r="G265" s="3" t="s">
        <v>84</v>
      </c>
      <c r="H265" s="4">
        <v>3</v>
      </c>
      <c r="I265" s="4">
        <v>4946298</v>
      </c>
      <c r="J265" s="3" t="s">
        <v>1027</v>
      </c>
      <c r="K265" s="3" t="s">
        <v>706</v>
      </c>
      <c r="L265" s="3" t="s">
        <v>707</v>
      </c>
      <c r="M265" s="5">
        <v>46185</v>
      </c>
      <c r="N265" s="3" t="s">
        <v>1028</v>
      </c>
      <c r="O265" s="3" t="s">
        <v>1029</v>
      </c>
      <c r="P265" s="3" t="s">
        <v>51</v>
      </c>
      <c r="Q265" s="6">
        <v>594.09</v>
      </c>
      <c r="R265" s="6">
        <v>594.09</v>
      </c>
      <c r="S265" s="5">
        <v>46195</v>
      </c>
      <c r="T265" s="3" t="s">
        <v>72</v>
      </c>
      <c r="U265" s="3" t="s">
        <v>112</v>
      </c>
      <c r="V265" s="3" t="s">
        <v>55</v>
      </c>
      <c r="W265" s="3" t="s">
        <v>32</v>
      </c>
      <c r="X265" s="3" t="s">
        <v>52</v>
      </c>
      <c r="Y265" s="3">
        <v>100141</v>
      </c>
      <c r="Z265" s="3" t="s">
        <v>123</v>
      </c>
      <c r="AA265" s="3">
        <v>100121</v>
      </c>
      <c r="AB265" s="3" t="s">
        <v>103</v>
      </c>
      <c r="AC265" s="4">
        <f ca="1">TODAY()-Open[[#This Row],[Status Date]]</f>
        <v>9</v>
      </c>
      <c r="AD265" s="3" t="s">
        <v>91</v>
      </c>
      <c r="AE265" t="str">
        <f t="shared" si="4"/>
        <v>Olivia Jenkins</v>
      </c>
      <c r="AF265" t="s">
        <v>1054</v>
      </c>
    </row>
    <row r="266" spans="1:32" x14ac:dyDescent="0.3">
      <c r="A266" s="3" t="s">
        <v>81</v>
      </c>
      <c r="B266" s="3" t="s">
        <v>82</v>
      </c>
      <c r="C266" s="3" t="s">
        <v>83</v>
      </c>
      <c r="D266" s="5">
        <v>46189</v>
      </c>
      <c r="E266" s="5">
        <v>46189</v>
      </c>
      <c r="F266" s="3" t="s">
        <v>69</v>
      </c>
      <c r="G266" s="3" t="s">
        <v>84</v>
      </c>
      <c r="H266" s="4">
        <v>3</v>
      </c>
      <c r="I266" s="4">
        <v>4946577</v>
      </c>
      <c r="J266" s="3" t="s">
        <v>708</v>
      </c>
      <c r="K266" s="3" t="s">
        <v>709</v>
      </c>
      <c r="L266" s="3" t="s">
        <v>710</v>
      </c>
      <c r="M266" s="5">
        <v>46185</v>
      </c>
      <c r="N266" s="3" t="s">
        <v>663</v>
      </c>
      <c r="O266" s="3" t="s">
        <v>664</v>
      </c>
      <c r="P266" s="3" t="s">
        <v>44</v>
      </c>
      <c r="Q266" s="6">
        <v>34.79</v>
      </c>
      <c r="R266" s="6">
        <v>34.79</v>
      </c>
      <c r="S266" s="5">
        <v>46195</v>
      </c>
      <c r="T266" s="3" t="s">
        <v>72</v>
      </c>
      <c r="U266" s="3" t="s">
        <v>112</v>
      </c>
      <c r="V266" s="3" t="s">
        <v>55</v>
      </c>
      <c r="W266" s="3" t="s">
        <v>32</v>
      </c>
      <c r="X266" s="3" t="s">
        <v>45</v>
      </c>
      <c r="Y266" s="3">
        <v>100181</v>
      </c>
      <c r="Z266" s="3" t="s">
        <v>127</v>
      </c>
      <c r="AA266" s="3">
        <v>100151</v>
      </c>
      <c r="AB266" s="3" t="s">
        <v>108</v>
      </c>
      <c r="AC266" s="4">
        <f ca="1">TODAY()-Open[[#This Row],[Status Date]]</f>
        <v>9</v>
      </c>
      <c r="AD266" s="3" t="s">
        <v>91</v>
      </c>
      <c r="AE266" t="str">
        <f t="shared" si="4"/>
        <v>Mason Reynolds</v>
      </c>
      <c r="AF266" t="s">
        <v>1053</v>
      </c>
    </row>
    <row r="267" spans="1:32" x14ac:dyDescent="0.3">
      <c r="A267" s="3" t="s">
        <v>81</v>
      </c>
      <c r="B267" s="3" t="s">
        <v>82</v>
      </c>
      <c r="C267" s="3" t="s">
        <v>83</v>
      </c>
      <c r="D267" s="5">
        <v>46189</v>
      </c>
      <c r="E267" s="5">
        <v>46189</v>
      </c>
      <c r="F267" s="3" t="s">
        <v>69</v>
      </c>
      <c r="G267" s="3" t="s">
        <v>84</v>
      </c>
      <c r="H267" s="4">
        <v>3</v>
      </c>
      <c r="I267" s="4">
        <v>4946855</v>
      </c>
      <c r="J267" s="3" t="s">
        <v>711</v>
      </c>
      <c r="K267" s="3" t="s">
        <v>712</v>
      </c>
      <c r="L267" s="3" t="s">
        <v>713</v>
      </c>
      <c r="M267" s="5">
        <v>46185</v>
      </c>
      <c r="N267" s="3" t="s">
        <v>663</v>
      </c>
      <c r="O267" s="3" t="s">
        <v>664</v>
      </c>
      <c r="P267" s="3" t="s">
        <v>44</v>
      </c>
      <c r="Q267" s="6">
        <v>34.79</v>
      </c>
      <c r="R267" s="6">
        <v>34.79</v>
      </c>
      <c r="S267" s="5">
        <v>46195</v>
      </c>
      <c r="T267" s="3" t="s">
        <v>72</v>
      </c>
      <c r="U267" s="3" t="s">
        <v>112</v>
      </c>
      <c r="V267" s="3" t="s">
        <v>55</v>
      </c>
      <c r="W267" s="3" t="s">
        <v>32</v>
      </c>
      <c r="X267" s="3" t="s">
        <v>45</v>
      </c>
      <c r="Y267" s="3">
        <v>100221</v>
      </c>
      <c r="Z267" s="3" t="s">
        <v>131</v>
      </c>
      <c r="AA267" s="3">
        <v>100161</v>
      </c>
      <c r="AB267" s="3" t="s">
        <v>132</v>
      </c>
      <c r="AC267" s="4">
        <f ca="1">TODAY()-Open[[#This Row],[Status Date]]</f>
        <v>9</v>
      </c>
      <c r="AD267" s="3" t="s">
        <v>91</v>
      </c>
      <c r="AE267" t="str">
        <f t="shared" si="4"/>
        <v>Connor Bishop</v>
      </c>
      <c r="AF267" t="s">
        <v>1053</v>
      </c>
    </row>
    <row r="268" spans="1:32" x14ac:dyDescent="0.3">
      <c r="A268" s="3" t="s">
        <v>81</v>
      </c>
      <c r="B268" s="3" t="s">
        <v>82</v>
      </c>
      <c r="C268" s="3" t="s">
        <v>83</v>
      </c>
      <c r="D268" s="5">
        <v>46189</v>
      </c>
      <c r="E268" s="5">
        <v>46189</v>
      </c>
      <c r="F268" s="3" t="s">
        <v>69</v>
      </c>
      <c r="G268" s="3" t="s">
        <v>84</v>
      </c>
      <c r="H268" s="4">
        <v>3</v>
      </c>
      <c r="I268" s="4">
        <v>4947133</v>
      </c>
      <c r="J268" s="3" t="s">
        <v>1030</v>
      </c>
      <c r="K268" s="3" t="s">
        <v>714</v>
      </c>
      <c r="L268" s="3" t="s">
        <v>715</v>
      </c>
      <c r="M268" s="5">
        <v>46185</v>
      </c>
      <c r="N268" s="3" t="s">
        <v>663</v>
      </c>
      <c r="O268" s="3" t="s">
        <v>664</v>
      </c>
      <c r="P268" s="3" t="s">
        <v>44</v>
      </c>
      <c r="Q268" s="6">
        <v>34.79</v>
      </c>
      <c r="R268" s="6">
        <v>34.79</v>
      </c>
      <c r="S268" s="5">
        <v>46195</v>
      </c>
      <c r="T268" s="3" t="s">
        <v>72</v>
      </c>
      <c r="U268" s="3" t="s">
        <v>112</v>
      </c>
      <c r="V268" s="3" t="s">
        <v>55</v>
      </c>
      <c r="W268" s="3" t="s">
        <v>32</v>
      </c>
      <c r="X268" s="3" t="s">
        <v>45</v>
      </c>
      <c r="Y268" s="3">
        <v>100261</v>
      </c>
      <c r="Z268" s="3" t="s">
        <v>136</v>
      </c>
      <c r="AA268" s="3">
        <v>100191</v>
      </c>
      <c r="AB268" s="3" t="s">
        <v>137</v>
      </c>
      <c r="AC268" s="4">
        <f ca="1">TODAY()-Open[[#This Row],[Status Date]]</f>
        <v>9</v>
      </c>
      <c r="AD268" s="3" t="s">
        <v>91</v>
      </c>
      <c r="AE268" t="str">
        <f t="shared" si="4"/>
        <v>Dominic Flores</v>
      </c>
      <c r="AF268" t="s">
        <v>1053</v>
      </c>
    </row>
    <row r="269" spans="1:32" x14ac:dyDescent="0.3">
      <c r="A269" s="3" t="s">
        <v>81</v>
      </c>
      <c r="B269" s="3" t="s">
        <v>82</v>
      </c>
      <c r="C269" s="3" t="s">
        <v>83</v>
      </c>
      <c r="D269" s="5">
        <v>46189</v>
      </c>
      <c r="E269" s="5">
        <v>46189</v>
      </c>
      <c r="F269" s="3" t="s">
        <v>69</v>
      </c>
      <c r="G269" s="3" t="s">
        <v>84</v>
      </c>
      <c r="H269" s="4">
        <v>3</v>
      </c>
      <c r="I269" s="4">
        <v>4947411</v>
      </c>
      <c r="J269" s="3" t="s">
        <v>716</v>
      </c>
      <c r="K269" s="3" t="s">
        <v>717</v>
      </c>
      <c r="L269" s="3" t="s">
        <v>718</v>
      </c>
      <c r="M269" s="5">
        <v>46185</v>
      </c>
      <c r="N269" s="3" t="s">
        <v>663</v>
      </c>
      <c r="O269" s="3" t="s">
        <v>664</v>
      </c>
      <c r="P269" s="3" t="s">
        <v>44</v>
      </c>
      <c r="Q269" s="6">
        <v>34.79</v>
      </c>
      <c r="R269" s="6">
        <v>34.79</v>
      </c>
      <c r="S269" s="5">
        <v>46195</v>
      </c>
      <c r="T269" s="3" t="s">
        <v>72</v>
      </c>
      <c r="U269" s="3" t="s">
        <v>112</v>
      </c>
      <c r="V269" s="3" t="s">
        <v>55</v>
      </c>
      <c r="W269" s="3" t="s">
        <v>32</v>
      </c>
      <c r="X269" s="3" t="s">
        <v>45</v>
      </c>
      <c r="Y269" s="3">
        <v>100101</v>
      </c>
      <c r="Z269" s="3" t="s">
        <v>113</v>
      </c>
      <c r="AA269" s="3">
        <v>100111</v>
      </c>
      <c r="AB269" s="3" t="s">
        <v>90</v>
      </c>
      <c r="AC269" s="4">
        <f ca="1">TODAY()-Open[[#This Row],[Status Date]]</f>
        <v>9</v>
      </c>
      <c r="AD269" s="3" t="s">
        <v>91</v>
      </c>
      <c r="AE269" t="str">
        <f t="shared" si="4"/>
        <v>Andrew Ross</v>
      </c>
      <c r="AF269" t="s">
        <v>1053</v>
      </c>
    </row>
    <row r="270" spans="1:32" x14ac:dyDescent="0.3">
      <c r="A270" s="3" t="s">
        <v>81</v>
      </c>
      <c r="B270" s="3" t="s">
        <v>82</v>
      </c>
      <c r="C270" s="3" t="s">
        <v>83</v>
      </c>
      <c r="D270" s="5">
        <v>46189</v>
      </c>
      <c r="E270" s="5">
        <v>46189</v>
      </c>
      <c r="F270" s="3" t="s">
        <v>69</v>
      </c>
      <c r="G270" s="3" t="s">
        <v>84</v>
      </c>
      <c r="H270" s="4">
        <v>3</v>
      </c>
      <c r="I270" s="4">
        <v>4947690</v>
      </c>
      <c r="J270" s="3" t="s">
        <v>719</v>
      </c>
      <c r="K270" s="3" t="s">
        <v>720</v>
      </c>
      <c r="L270" s="3" t="s">
        <v>721</v>
      </c>
      <c r="M270" s="5">
        <v>46185</v>
      </c>
      <c r="N270" s="3" t="s">
        <v>663</v>
      </c>
      <c r="O270" s="3" t="s">
        <v>664</v>
      </c>
      <c r="P270" s="3" t="s">
        <v>44</v>
      </c>
      <c r="Q270" s="6">
        <v>265</v>
      </c>
      <c r="R270" s="6">
        <v>265</v>
      </c>
      <c r="S270" s="5">
        <v>46195</v>
      </c>
      <c r="T270" s="3" t="s">
        <v>72</v>
      </c>
      <c r="U270" s="3" t="s">
        <v>112</v>
      </c>
      <c r="V270" s="3" t="s">
        <v>55</v>
      </c>
      <c r="W270" s="3" t="s">
        <v>32</v>
      </c>
      <c r="X270" s="3" t="s">
        <v>45</v>
      </c>
      <c r="Y270" s="3">
        <v>100141</v>
      </c>
      <c r="Z270" s="3" t="s">
        <v>123</v>
      </c>
      <c r="AA270" s="3">
        <v>100121</v>
      </c>
      <c r="AB270" s="3" t="s">
        <v>103</v>
      </c>
      <c r="AC270" s="4">
        <f ca="1">TODAY()-Open[[#This Row],[Status Date]]</f>
        <v>9</v>
      </c>
      <c r="AD270" s="3" t="s">
        <v>91</v>
      </c>
      <c r="AE270" t="str">
        <f t="shared" si="4"/>
        <v>Olivia Jenkins</v>
      </c>
      <c r="AF270" t="s">
        <v>1053</v>
      </c>
    </row>
    <row r="271" spans="1:32" x14ac:dyDescent="0.3">
      <c r="A271" s="3" t="s">
        <v>81</v>
      </c>
      <c r="B271" s="3" t="s">
        <v>82</v>
      </c>
      <c r="C271" s="3" t="s">
        <v>83</v>
      </c>
      <c r="D271" s="5">
        <v>46189</v>
      </c>
      <c r="E271" s="5">
        <v>46189</v>
      </c>
      <c r="F271" s="3" t="s">
        <v>69</v>
      </c>
      <c r="G271" s="3" t="s">
        <v>84</v>
      </c>
      <c r="H271" s="4">
        <v>3</v>
      </c>
      <c r="I271" s="4">
        <v>4947968</v>
      </c>
      <c r="J271" s="3" t="s">
        <v>1031</v>
      </c>
      <c r="K271" s="3" t="s">
        <v>722</v>
      </c>
      <c r="L271" s="3" t="s">
        <v>723</v>
      </c>
      <c r="M271" s="5">
        <v>46185</v>
      </c>
      <c r="N271" s="3" t="s">
        <v>663</v>
      </c>
      <c r="O271" s="3" t="s">
        <v>664</v>
      </c>
      <c r="P271" s="3" t="s">
        <v>44</v>
      </c>
      <c r="Q271" s="6">
        <v>42.96</v>
      </c>
      <c r="R271" s="6">
        <v>42.96</v>
      </c>
      <c r="S271" s="5">
        <v>46195</v>
      </c>
      <c r="T271" s="3" t="s">
        <v>72</v>
      </c>
      <c r="U271" s="3" t="s">
        <v>112</v>
      </c>
      <c r="V271" s="3" t="s">
        <v>55</v>
      </c>
      <c r="W271" s="3" t="s">
        <v>32</v>
      </c>
      <c r="X271" s="3" t="s">
        <v>45</v>
      </c>
      <c r="Y271" s="3">
        <v>100181</v>
      </c>
      <c r="Z271" s="3" t="s">
        <v>127</v>
      </c>
      <c r="AA271" s="3">
        <v>100151</v>
      </c>
      <c r="AB271" s="3" t="s">
        <v>108</v>
      </c>
      <c r="AC271" s="4">
        <f ca="1">TODAY()-Open[[#This Row],[Status Date]]</f>
        <v>9</v>
      </c>
      <c r="AD271" s="3" t="s">
        <v>91</v>
      </c>
      <c r="AE271" t="str">
        <f t="shared" si="4"/>
        <v>Mason Reynolds</v>
      </c>
      <c r="AF271" t="s">
        <v>1053</v>
      </c>
    </row>
    <row r="272" spans="1:32" x14ac:dyDescent="0.3">
      <c r="A272" s="3" t="s">
        <v>81</v>
      </c>
      <c r="B272" s="3" t="s">
        <v>82</v>
      </c>
      <c r="C272" s="3" t="s">
        <v>83</v>
      </c>
      <c r="D272" s="5">
        <v>46189</v>
      </c>
      <c r="E272" s="5">
        <v>46189</v>
      </c>
      <c r="F272" s="3" t="s">
        <v>69</v>
      </c>
      <c r="G272" s="3" t="s">
        <v>84</v>
      </c>
      <c r="H272" s="4">
        <v>3</v>
      </c>
      <c r="I272" s="4">
        <v>4948246</v>
      </c>
      <c r="J272" s="3" t="s">
        <v>724</v>
      </c>
      <c r="K272" s="3" t="s">
        <v>725</v>
      </c>
      <c r="L272" s="3" t="s">
        <v>726</v>
      </c>
      <c r="M272" s="5">
        <v>46185</v>
      </c>
      <c r="N272" s="3" t="s">
        <v>663</v>
      </c>
      <c r="O272" s="3" t="s">
        <v>664</v>
      </c>
      <c r="P272" s="3" t="s">
        <v>44</v>
      </c>
      <c r="Q272" s="6">
        <v>34.79</v>
      </c>
      <c r="R272" s="6">
        <v>34.79</v>
      </c>
      <c r="S272" s="5">
        <v>46195</v>
      </c>
      <c r="T272" s="3" t="s">
        <v>72</v>
      </c>
      <c r="U272" s="3" t="s">
        <v>112</v>
      </c>
      <c r="V272" s="3" t="s">
        <v>55</v>
      </c>
      <c r="W272" s="3" t="s">
        <v>32</v>
      </c>
      <c r="X272" s="3" t="s">
        <v>45</v>
      </c>
      <c r="Y272" s="3">
        <v>100221</v>
      </c>
      <c r="Z272" s="3" t="s">
        <v>131</v>
      </c>
      <c r="AA272" s="3">
        <v>100161</v>
      </c>
      <c r="AB272" s="3" t="s">
        <v>132</v>
      </c>
      <c r="AC272" s="4">
        <f ca="1">TODAY()-Open[[#This Row],[Status Date]]</f>
        <v>9</v>
      </c>
      <c r="AD272" s="3" t="s">
        <v>91</v>
      </c>
      <c r="AE272" t="str">
        <f t="shared" si="4"/>
        <v>Connor Bishop</v>
      </c>
      <c r="AF272" t="s">
        <v>1053</v>
      </c>
    </row>
    <row r="273" spans="1:32" x14ac:dyDescent="0.3">
      <c r="A273" s="3" t="s">
        <v>81</v>
      </c>
      <c r="B273" s="3" t="s">
        <v>82</v>
      </c>
      <c r="C273" s="3" t="s">
        <v>83</v>
      </c>
      <c r="D273" s="5">
        <v>46189</v>
      </c>
      <c r="E273" s="5">
        <v>46189</v>
      </c>
      <c r="F273" s="3" t="s">
        <v>69</v>
      </c>
      <c r="G273" s="3" t="s">
        <v>84</v>
      </c>
      <c r="H273" s="4">
        <v>3</v>
      </c>
      <c r="I273" s="4">
        <v>4948524</v>
      </c>
      <c r="J273" s="3" t="s">
        <v>727</v>
      </c>
      <c r="K273" s="3" t="s">
        <v>728</v>
      </c>
      <c r="L273" s="3" t="s">
        <v>729</v>
      </c>
      <c r="M273" s="5">
        <v>46185</v>
      </c>
      <c r="N273" s="3" t="s">
        <v>663</v>
      </c>
      <c r="O273" s="3" t="s">
        <v>664</v>
      </c>
      <c r="P273" s="3" t="s">
        <v>44</v>
      </c>
      <c r="Q273" s="6">
        <v>31.92</v>
      </c>
      <c r="R273" s="6">
        <v>31.92</v>
      </c>
      <c r="S273" s="5">
        <v>46195</v>
      </c>
      <c r="T273" s="3" t="s">
        <v>72</v>
      </c>
      <c r="U273" s="3" t="s">
        <v>112</v>
      </c>
      <c r="V273" s="3" t="s">
        <v>55</v>
      </c>
      <c r="W273" s="3" t="s">
        <v>32</v>
      </c>
      <c r="X273" s="3" t="s">
        <v>45</v>
      </c>
      <c r="Y273" s="3">
        <v>100261</v>
      </c>
      <c r="Z273" s="3" t="s">
        <v>136</v>
      </c>
      <c r="AA273" s="3">
        <v>100191</v>
      </c>
      <c r="AB273" s="3" t="s">
        <v>137</v>
      </c>
      <c r="AC273" s="4">
        <f ca="1">TODAY()-Open[[#This Row],[Status Date]]</f>
        <v>9</v>
      </c>
      <c r="AD273" s="3" t="s">
        <v>91</v>
      </c>
      <c r="AE273" t="str">
        <f t="shared" si="4"/>
        <v>Dominic Flores</v>
      </c>
      <c r="AF273" t="s">
        <v>1053</v>
      </c>
    </row>
    <row r="274" spans="1:32" x14ac:dyDescent="0.3">
      <c r="A274" s="3" t="s">
        <v>81</v>
      </c>
      <c r="B274" s="3" t="s">
        <v>82</v>
      </c>
      <c r="C274" s="3" t="s">
        <v>83</v>
      </c>
      <c r="D274" s="5">
        <v>46189</v>
      </c>
      <c r="E274" s="5">
        <v>46189</v>
      </c>
      <c r="F274" s="3" t="s">
        <v>69</v>
      </c>
      <c r="G274" s="3" t="s">
        <v>84</v>
      </c>
      <c r="H274" s="4">
        <v>3</v>
      </c>
      <c r="I274" s="4">
        <v>4948803</v>
      </c>
      <c r="J274" s="3" t="s">
        <v>730</v>
      </c>
      <c r="K274" s="3" t="s">
        <v>731</v>
      </c>
      <c r="L274" s="3" t="s">
        <v>732</v>
      </c>
      <c r="M274" s="5">
        <v>46185</v>
      </c>
      <c r="N274" s="3" t="s">
        <v>663</v>
      </c>
      <c r="O274" s="3" t="s">
        <v>664</v>
      </c>
      <c r="P274" s="3" t="s">
        <v>44</v>
      </c>
      <c r="Q274" s="6">
        <v>265</v>
      </c>
      <c r="R274" s="6">
        <v>265</v>
      </c>
      <c r="S274" s="5">
        <v>46195</v>
      </c>
      <c r="T274" s="3" t="s">
        <v>72</v>
      </c>
      <c r="U274" s="3" t="s">
        <v>112</v>
      </c>
      <c r="V274" s="3" t="s">
        <v>55</v>
      </c>
      <c r="W274" s="3" t="s">
        <v>32</v>
      </c>
      <c r="X274" s="3" t="s">
        <v>45</v>
      </c>
      <c r="Y274" s="3">
        <v>100101</v>
      </c>
      <c r="Z274" s="3" t="s">
        <v>113</v>
      </c>
      <c r="AA274" s="3">
        <v>100111</v>
      </c>
      <c r="AB274" s="3" t="s">
        <v>90</v>
      </c>
      <c r="AC274" s="4">
        <f ca="1">TODAY()-Open[[#This Row],[Status Date]]</f>
        <v>9</v>
      </c>
      <c r="AD274" s="3" t="s">
        <v>91</v>
      </c>
      <c r="AE274" t="str">
        <f t="shared" si="4"/>
        <v>Andrew Ross</v>
      </c>
      <c r="AF274" t="s">
        <v>1053</v>
      </c>
    </row>
    <row r="275" spans="1:32" x14ac:dyDescent="0.3">
      <c r="A275" s="3" t="s">
        <v>81</v>
      </c>
      <c r="B275" s="3" t="s">
        <v>82</v>
      </c>
      <c r="C275" s="3" t="s">
        <v>83</v>
      </c>
      <c r="D275" s="5">
        <v>46189</v>
      </c>
      <c r="E275" s="5">
        <v>46189</v>
      </c>
      <c r="F275" s="3" t="s">
        <v>69</v>
      </c>
      <c r="G275" s="3" t="s">
        <v>84</v>
      </c>
      <c r="H275" s="4">
        <v>3</v>
      </c>
      <c r="I275" s="4">
        <v>4949081</v>
      </c>
      <c r="J275" s="3" t="s">
        <v>1032</v>
      </c>
      <c r="K275" s="3" t="s">
        <v>733</v>
      </c>
      <c r="L275" s="3" t="s">
        <v>734</v>
      </c>
      <c r="M275" s="5">
        <v>46185</v>
      </c>
      <c r="N275" s="3" t="s">
        <v>663</v>
      </c>
      <c r="O275" s="3" t="s">
        <v>664</v>
      </c>
      <c r="P275" s="3" t="s">
        <v>44</v>
      </c>
      <c r="Q275" s="6">
        <v>34.79</v>
      </c>
      <c r="R275" s="6">
        <v>34.79</v>
      </c>
      <c r="S275" s="5">
        <v>46195</v>
      </c>
      <c r="T275" s="3" t="s">
        <v>72</v>
      </c>
      <c r="U275" s="3" t="s">
        <v>112</v>
      </c>
      <c r="V275" s="3" t="s">
        <v>55</v>
      </c>
      <c r="W275" s="3" t="s">
        <v>32</v>
      </c>
      <c r="X275" s="3" t="s">
        <v>45</v>
      </c>
      <c r="Y275" s="3">
        <v>100141</v>
      </c>
      <c r="Z275" s="3" t="s">
        <v>123</v>
      </c>
      <c r="AA275" s="3">
        <v>100121</v>
      </c>
      <c r="AB275" s="3" t="s">
        <v>103</v>
      </c>
      <c r="AC275" s="4">
        <f ca="1">TODAY()-Open[[#This Row],[Status Date]]</f>
        <v>9</v>
      </c>
      <c r="AD275" s="3" t="s">
        <v>91</v>
      </c>
      <c r="AE275" t="str">
        <f t="shared" si="4"/>
        <v>Olivia Jenkins</v>
      </c>
      <c r="AF275" t="s">
        <v>1053</v>
      </c>
    </row>
    <row r="276" spans="1:32" x14ac:dyDescent="0.3">
      <c r="A276" s="3" t="s">
        <v>81</v>
      </c>
      <c r="B276" s="3" t="s">
        <v>82</v>
      </c>
      <c r="C276" s="3" t="s">
        <v>83</v>
      </c>
      <c r="D276" s="5">
        <v>46189</v>
      </c>
      <c r="E276" s="5">
        <v>46189</v>
      </c>
      <c r="F276" s="3" t="s">
        <v>69</v>
      </c>
      <c r="G276" s="3" t="s">
        <v>84</v>
      </c>
      <c r="H276" s="4">
        <v>3</v>
      </c>
      <c r="I276" s="4">
        <v>4949359</v>
      </c>
      <c r="J276" s="3" t="s">
        <v>735</v>
      </c>
      <c r="K276" s="3" t="s">
        <v>736</v>
      </c>
      <c r="L276" s="3" t="s">
        <v>737</v>
      </c>
      <c r="M276" s="5">
        <v>46185</v>
      </c>
      <c r="N276" s="3" t="s">
        <v>663</v>
      </c>
      <c r="O276" s="3" t="s">
        <v>664</v>
      </c>
      <c r="P276" s="3" t="s">
        <v>44</v>
      </c>
      <c r="Q276" s="6">
        <v>34.79</v>
      </c>
      <c r="R276" s="6">
        <v>34.79</v>
      </c>
      <c r="S276" s="5">
        <v>46195</v>
      </c>
      <c r="T276" s="3" t="s">
        <v>72</v>
      </c>
      <c r="U276" s="3" t="s">
        <v>112</v>
      </c>
      <c r="V276" s="3" t="s">
        <v>55</v>
      </c>
      <c r="W276" s="3" t="s">
        <v>32</v>
      </c>
      <c r="X276" s="3" t="s">
        <v>45</v>
      </c>
      <c r="Y276" s="3">
        <v>100181</v>
      </c>
      <c r="Z276" s="3" t="s">
        <v>127</v>
      </c>
      <c r="AA276" s="3">
        <v>100151</v>
      </c>
      <c r="AB276" s="3" t="s">
        <v>108</v>
      </c>
      <c r="AC276" s="4">
        <f ca="1">TODAY()-Open[[#This Row],[Status Date]]</f>
        <v>9</v>
      </c>
      <c r="AD276" s="3" t="s">
        <v>91</v>
      </c>
      <c r="AE276" t="str">
        <f t="shared" si="4"/>
        <v>Mason Reynolds</v>
      </c>
      <c r="AF276" t="s">
        <v>1053</v>
      </c>
    </row>
    <row r="277" spans="1:32" x14ac:dyDescent="0.3">
      <c r="A277" s="3" t="s">
        <v>81</v>
      </c>
      <c r="B277" s="3" t="s">
        <v>82</v>
      </c>
      <c r="C277" s="3" t="s">
        <v>83</v>
      </c>
      <c r="D277" s="5">
        <v>46189</v>
      </c>
      <c r="E277" s="5">
        <v>46189</v>
      </c>
      <c r="F277" s="3" t="s">
        <v>69</v>
      </c>
      <c r="G277" s="3" t="s">
        <v>84</v>
      </c>
      <c r="H277" s="4">
        <v>3</v>
      </c>
      <c r="I277" s="4">
        <v>4949638</v>
      </c>
      <c r="J277" s="3" t="s">
        <v>738</v>
      </c>
      <c r="K277" s="3" t="s">
        <v>739</v>
      </c>
      <c r="L277" s="3" t="s">
        <v>740</v>
      </c>
      <c r="M277" s="5">
        <v>46185</v>
      </c>
      <c r="N277" s="3" t="s">
        <v>663</v>
      </c>
      <c r="O277" s="3" t="s">
        <v>664</v>
      </c>
      <c r="P277" s="3" t="s">
        <v>44</v>
      </c>
      <c r="Q277" s="6">
        <v>20.440000000000001</v>
      </c>
      <c r="R277" s="6">
        <v>20.440000000000001</v>
      </c>
      <c r="S277" s="5">
        <v>46195</v>
      </c>
      <c r="T277" s="3" t="s">
        <v>72</v>
      </c>
      <c r="U277" s="3" t="s">
        <v>112</v>
      </c>
      <c r="V277" s="3" t="s">
        <v>55</v>
      </c>
      <c r="W277" s="3" t="s">
        <v>32</v>
      </c>
      <c r="X277" s="3" t="s">
        <v>45</v>
      </c>
      <c r="Y277" s="3">
        <v>100221</v>
      </c>
      <c r="Z277" s="3" t="s">
        <v>131</v>
      </c>
      <c r="AA277" s="3">
        <v>100161</v>
      </c>
      <c r="AB277" s="3" t="s">
        <v>132</v>
      </c>
      <c r="AC277" s="4">
        <f ca="1">TODAY()-Open[[#This Row],[Status Date]]</f>
        <v>9</v>
      </c>
      <c r="AD277" s="3" t="s">
        <v>91</v>
      </c>
      <c r="AE277" t="str">
        <f t="shared" si="4"/>
        <v>Connor Bishop</v>
      </c>
      <c r="AF277" t="s">
        <v>1053</v>
      </c>
    </row>
    <row r="278" spans="1:32" x14ac:dyDescent="0.3">
      <c r="A278" s="3" t="s">
        <v>81</v>
      </c>
      <c r="B278" s="3" t="s">
        <v>82</v>
      </c>
      <c r="C278" s="3" t="s">
        <v>83</v>
      </c>
      <c r="D278" s="5">
        <v>46189</v>
      </c>
      <c r="E278" s="5">
        <v>46189</v>
      </c>
      <c r="F278" s="3" t="s">
        <v>69</v>
      </c>
      <c r="G278" s="3" t="s">
        <v>84</v>
      </c>
      <c r="H278" s="4">
        <v>3</v>
      </c>
      <c r="I278" s="4">
        <v>4949916</v>
      </c>
      <c r="J278" s="3" t="s">
        <v>741</v>
      </c>
      <c r="K278" s="3" t="s">
        <v>742</v>
      </c>
      <c r="L278" s="3" t="s">
        <v>743</v>
      </c>
      <c r="M278" s="5">
        <v>46185</v>
      </c>
      <c r="N278" s="3" t="s">
        <v>663</v>
      </c>
      <c r="O278" s="3" t="s">
        <v>664</v>
      </c>
      <c r="P278" s="3" t="s">
        <v>44</v>
      </c>
      <c r="Q278" s="6">
        <v>25.35</v>
      </c>
      <c r="R278" s="6">
        <v>25.35</v>
      </c>
      <c r="S278" s="5">
        <v>46195</v>
      </c>
      <c r="T278" s="3" t="s">
        <v>72</v>
      </c>
      <c r="U278" s="3" t="s">
        <v>112</v>
      </c>
      <c r="V278" s="3" t="s">
        <v>55</v>
      </c>
      <c r="W278" s="3" t="s">
        <v>32</v>
      </c>
      <c r="X278" s="3" t="s">
        <v>45</v>
      </c>
      <c r="Y278" s="3">
        <v>100261</v>
      </c>
      <c r="Z278" s="3" t="s">
        <v>136</v>
      </c>
      <c r="AA278" s="3">
        <v>100191</v>
      </c>
      <c r="AB278" s="3" t="s">
        <v>137</v>
      </c>
      <c r="AC278" s="4">
        <f ca="1">TODAY()-Open[[#This Row],[Status Date]]</f>
        <v>9</v>
      </c>
      <c r="AD278" s="3" t="s">
        <v>91</v>
      </c>
      <c r="AE278" t="str">
        <f t="shared" si="4"/>
        <v>Dominic Flores</v>
      </c>
      <c r="AF278" t="s">
        <v>1053</v>
      </c>
    </row>
    <row r="279" spans="1:32" x14ac:dyDescent="0.3">
      <c r="A279" s="3" t="s">
        <v>81</v>
      </c>
      <c r="B279" s="3" t="s">
        <v>82</v>
      </c>
      <c r="C279" s="3" t="s">
        <v>83</v>
      </c>
      <c r="D279" s="5">
        <v>46189</v>
      </c>
      <c r="E279" s="5">
        <v>46189</v>
      </c>
      <c r="F279" s="3" t="s">
        <v>69</v>
      </c>
      <c r="G279" s="3" t="s">
        <v>84</v>
      </c>
      <c r="H279" s="4">
        <v>3</v>
      </c>
      <c r="I279" s="4">
        <v>4950194</v>
      </c>
      <c r="J279" s="3" t="s">
        <v>744</v>
      </c>
      <c r="K279" s="3" t="s">
        <v>745</v>
      </c>
      <c r="L279" s="3" t="s">
        <v>746</v>
      </c>
      <c r="M279" s="5">
        <v>46185</v>
      </c>
      <c r="N279" s="3" t="s">
        <v>663</v>
      </c>
      <c r="O279" s="3" t="s">
        <v>664</v>
      </c>
      <c r="P279" s="3" t="s">
        <v>44</v>
      </c>
      <c r="Q279" s="6">
        <v>42.96</v>
      </c>
      <c r="R279" s="6">
        <v>42.96</v>
      </c>
      <c r="S279" s="5">
        <v>46195</v>
      </c>
      <c r="T279" s="3" t="s">
        <v>72</v>
      </c>
      <c r="U279" s="3" t="s">
        <v>112</v>
      </c>
      <c r="V279" s="3" t="s">
        <v>55</v>
      </c>
      <c r="W279" s="3" t="s">
        <v>32</v>
      </c>
      <c r="X279" s="3" t="s">
        <v>45</v>
      </c>
      <c r="Y279" s="3">
        <v>100101</v>
      </c>
      <c r="Z279" s="3" t="s">
        <v>113</v>
      </c>
      <c r="AA279" s="3">
        <v>100111</v>
      </c>
      <c r="AB279" s="3" t="s">
        <v>90</v>
      </c>
      <c r="AC279" s="4">
        <f ca="1">TODAY()-Open[[#This Row],[Status Date]]</f>
        <v>9</v>
      </c>
      <c r="AD279" s="3" t="s">
        <v>91</v>
      </c>
      <c r="AE279" t="str">
        <f t="shared" si="4"/>
        <v>Andrew Ross</v>
      </c>
      <c r="AF279" t="s">
        <v>1053</v>
      </c>
    </row>
    <row r="280" spans="1:32" x14ac:dyDescent="0.3">
      <c r="A280" s="3" t="s">
        <v>81</v>
      </c>
      <c r="B280" s="3" t="s">
        <v>82</v>
      </c>
      <c r="C280" s="3" t="s">
        <v>83</v>
      </c>
      <c r="D280" s="5">
        <v>46189</v>
      </c>
      <c r="E280" s="5">
        <v>46189</v>
      </c>
      <c r="F280" s="3" t="s">
        <v>69</v>
      </c>
      <c r="G280" s="3" t="s">
        <v>84</v>
      </c>
      <c r="H280" s="4">
        <v>3</v>
      </c>
      <c r="I280" s="4">
        <v>4950472</v>
      </c>
      <c r="J280" s="3" t="s">
        <v>747</v>
      </c>
      <c r="K280" s="3" t="s">
        <v>748</v>
      </c>
      <c r="L280" s="3" t="s">
        <v>749</v>
      </c>
      <c r="M280" s="5">
        <v>46185</v>
      </c>
      <c r="N280" s="3" t="s">
        <v>663</v>
      </c>
      <c r="O280" s="3" t="s">
        <v>664</v>
      </c>
      <c r="P280" s="3" t="s">
        <v>44</v>
      </c>
      <c r="Q280" s="6">
        <v>42.96</v>
      </c>
      <c r="R280" s="6">
        <v>42.96</v>
      </c>
      <c r="S280" s="5">
        <v>46195</v>
      </c>
      <c r="T280" s="3" t="s">
        <v>72</v>
      </c>
      <c r="U280" s="3" t="s">
        <v>112</v>
      </c>
      <c r="V280" s="3" t="s">
        <v>55</v>
      </c>
      <c r="W280" s="3" t="s">
        <v>32</v>
      </c>
      <c r="X280" s="3" t="s">
        <v>45</v>
      </c>
      <c r="Y280" s="3">
        <v>100141</v>
      </c>
      <c r="Z280" s="3" t="s">
        <v>123</v>
      </c>
      <c r="AA280" s="3">
        <v>100121</v>
      </c>
      <c r="AB280" s="3" t="s">
        <v>103</v>
      </c>
      <c r="AC280" s="4">
        <f ca="1">TODAY()-Open[[#This Row],[Status Date]]</f>
        <v>9</v>
      </c>
      <c r="AD280" s="3" t="s">
        <v>91</v>
      </c>
      <c r="AE280" t="str">
        <f t="shared" si="4"/>
        <v>Olivia Jenkins</v>
      </c>
      <c r="AF280" t="s">
        <v>1053</v>
      </c>
    </row>
    <row r="281" spans="1:32" x14ac:dyDescent="0.3">
      <c r="A281" s="3" t="s">
        <v>81</v>
      </c>
      <c r="B281" s="3" t="s">
        <v>82</v>
      </c>
      <c r="C281" s="3" t="s">
        <v>83</v>
      </c>
      <c r="D281" s="5">
        <v>46190</v>
      </c>
      <c r="E281" s="5">
        <v>46190</v>
      </c>
      <c r="F281" s="3" t="s">
        <v>69</v>
      </c>
      <c r="G281" s="3" t="s">
        <v>84</v>
      </c>
      <c r="H281" s="4">
        <v>2</v>
      </c>
      <c r="I281" s="4">
        <v>4959934</v>
      </c>
      <c r="J281" s="3" t="s">
        <v>755</v>
      </c>
      <c r="K281" s="3" t="s">
        <v>756</v>
      </c>
      <c r="L281" s="3" t="s">
        <v>757</v>
      </c>
      <c r="M281" s="5">
        <v>46058</v>
      </c>
      <c r="N281" s="3" t="s">
        <v>1017</v>
      </c>
      <c r="O281" s="3" t="s">
        <v>1018</v>
      </c>
      <c r="P281" s="3" t="s">
        <v>64</v>
      </c>
      <c r="Q281" s="6">
        <v>114.4</v>
      </c>
      <c r="R281" s="6">
        <v>114.4</v>
      </c>
      <c r="S281" s="5">
        <v>46195</v>
      </c>
      <c r="T281" s="3" t="s">
        <v>73</v>
      </c>
      <c r="U281" s="3" t="s">
        <v>824</v>
      </c>
      <c r="V281" s="3" t="s">
        <v>55</v>
      </c>
      <c r="W281" s="3" t="s">
        <v>32</v>
      </c>
      <c r="X281" s="3" t="s">
        <v>65</v>
      </c>
      <c r="Y281" s="3">
        <v>100291</v>
      </c>
      <c r="Z281" s="3" t="s">
        <v>1019</v>
      </c>
      <c r="AA281" s="3">
        <v>100111</v>
      </c>
      <c r="AB281" s="3" t="s">
        <v>90</v>
      </c>
      <c r="AC281" s="4">
        <f ca="1">TODAY()-Open[[#This Row],[Status Date]]</f>
        <v>9</v>
      </c>
      <c r="AD281" s="3" t="s">
        <v>91</v>
      </c>
      <c r="AE281" t="str">
        <f t="shared" si="4"/>
        <v>Andrew Ross</v>
      </c>
      <c r="AF281" t="s">
        <v>1066</v>
      </c>
    </row>
    <row r="282" spans="1:32" x14ac:dyDescent="0.3">
      <c r="A282" s="3" t="s">
        <v>81</v>
      </c>
      <c r="B282" s="3" t="s">
        <v>82</v>
      </c>
      <c r="C282" s="3" t="s">
        <v>83</v>
      </c>
      <c r="D282" s="5">
        <v>46190</v>
      </c>
      <c r="E282" s="5">
        <v>46190</v>
      </c>
      <c r="F282" s="3" t="s">
        <v>69</v>
      </c>
      <c r="G282" s="3" t="s">
        <v>84</v>
      </c>
      <c r="H282" s="4">
        <v>2</v>
      </c>
      <c r="I282" s="4">
        <v>4966056</v>
      </c>
      <c r="J282" s="3" t="s">
        <v>761</v>
      </c>
      <c r="K282" s="3" t="s">
        <v>762</v>
      </c>
      <c r="L282" s="3" t="s">
        <v>763</v>
      </c>
      <c r="M282" s="5">
        <v>46141</v>
      </c>
      <c r="N282" s="3" t="s">
        <v>977</v>
      </c>
      <c r="O282" s="3" t="s">
        <v>978</v>
      </c>
      <c r="P282" s="3" t="s">
        <v>34</v>
      </c>
      <c r="Q282" s="6">
        <v>751.61</v>
      </c>
      <c r="R282" s="6">
        <v>751.61</v>
      </c>
      <c r="S282" s="5">
        <v>46195</v>
      </c>
      <c r="T282" s="3" t="s">
        <v>66</v>
      </c>
      <c r="U282" s="3" t="s">
        <v>79</v>
      </c>
      <c r="V282" s="3" t="s">
        <v>55</v>
      </c>
      <c r="W282" s="3" t="s">
        <v>32</v>
      </c>
      <c r="X282" s="3" t="s">
        <v>35</v>
      </c>
      <c r="Y282" s="3">
        <v>100281</v>
      </c>
      <c r="Z282" s="3" t="s">
        <v>322</v>
      </c>
      <c r="AA282" s="3">
        <v>100281</v>
      </c>
      <c r="AB282" s="3" t="s">
        <v>322</v>
      </c>
      <c r="AC282" s="4">
        <f ca="1">TODAY()-Open[[#This Row],[Status Date]]</f>
        <v>9</v>
      </c>
      <c r="AD282" s="3" t="s">
        <v>91</v>
      </c>
      <c r="AE282" t="str">
        <f t="shared" si="4"/>
        <v>Grace Whitaker</v>
      </c>
      <c r="AF282" t="s">
        <v>1055</v>
      </c>
    </row>
    <row r="283" spans="1:32" x14ac:dyDescent="0.3">
      <c r="A283" s="3" t="s">
        <v>81</v>
      </c>
      <c r="B283" s="3" t="s">
        <v>82</v>
      </c>
      <c r="C283" s="3" t="s">
        <v>83</v>
      </c>
      <c r="D283" s="5">
        <v>46190</v>
      </c>
      <c r="E283" s="5">
        <v>46190</v>
      </c>
      <c r="F283" s="3" t="s">
        <v>69</v>
      </c>
      <c r="G283" s="3" t="s">
        <v>84</v>
      </c>
      <c r="H283" s="4">
        <v>2</v>
      </c>
      <c r="I283" s="4">
        <v>4969674</v>
      </c>
      <c r="J283" s="3" t="s">
        <v>764</v>
      </c>
      <c r="K283" s="3" t="s">
        <v>765</v>
      </c>
      <c r="L283" s="3" t="s">
        <v>766</v>
      </c>
      <c r="M283" s="5">
        <v>46147</v>
      </c>
      <c r="N283" s="3" t="s">
        <v>1007</v>
      </c>
      <c r="O283" s="3" t="s">
        <v>1008</v>
      </c>
      <c r="P283" s="3" t="s">
        <v>44</v>
      </c>
      <c r="Q283" s="6">
        <v>980</v>
      </c>
      <c r="R283" s="6">
        <v>980</v>
      </c>
      <c r="S283" s="5">
        <v>46195</v>
      </c>
      <c r="T283" s="3" t="s">
        <v>72</v>
      </c>
      <c r="U283" s="3" t="s">
        <v>112</v>
      </c>
      <c r="V283" s="3" t="s">
        <v>55</v>
      </c>
      <c r="W283" s="3" t="s">
        <v>32</v>
      </c>
      <c r="X283" s="3" t="s">
        <v>45</v>
      </c>
      <c r="Y283" s="3">
        <v>100181</v>
      </c>
      <c r="Z283" s="3" t="s">
        <v>127</v>
      </c>
      <c r="AA283" s="3">
        <v>100151</v>
      </c>
      <c r="AB283" s="3" t="s">
        <v>108</v>
      </c>
      <c r="AC283" s="4">
        <f ca="1">TODAY()-Open[[#This Row],[Status Date]]</f>
        <v>9</v>
      </c>
      <c r="AD283" s="3" t="s">
        <v>91</v>
      </c>
      <c r="AE283" t="str">
        <f t="shared" si="4"/>
        <v>Mason Reynolds</v>
      </c>
      <c r="AF283" t="s">
        <v>1053</v>
      </c>
    </row>
    <row r="284" spans="1:32" x14ac:dyDescent="0.3">
      <c r="A284" s="3" t="s">
        <v>81</v>
      </c>
      <c r="B284" s="3" t="s">
        <v>82</v>
      </c>
      <c r="C284" s="3" t="s">
        <v>83</v>
      </c>
      <c r="D284" s="5">
        <v>46190</v>
      </c>
      <c r="E284" s="5">
        <v>46190</v>
      </c>
      <c r="F284" s="3" t="s">
        <v>69</v>
      </c>
      <c r="G284" s="3" t="s">
        <v>84</v>
      </c>
      <c r="H284" s="4">
        <v>2</v>
      </c>
      <c r="I284" s="4">
        <v>4969952</v>
      </c>
      <c r="J284" s="3" t="s">
        <v>767</v>
      </c>
      <c r="K284" s="3" t="s">
        <v>768</v>
      </c>
      <c r="L284" s="3" t="s">
        <v>769</v>
      </c>
      <c r="M284" s="5">
        <v>46139</v>
      </c>
      <c r="N284" s="3" t="s">
        <v>1007</v>
      </c>
      <c r="O284" s="3" t="s">
        <v>1008</v>
      </c>
      <c r="P284" s="3" t="s">
        <v>44</v>
      </c>
      <c r="Q284" s="6">
        <v>35.700000000000003</v>
      </c>
      <c r="R284" s="6">
        <v>35.700000000000003</v>
      </c>
      <c r="S284" s="5">
        <v>46195</v>
      </c>
      <c r="T284" s="3" t="s">
        <v>72</v>
      </c>
      <c r="U284" s="3" t="s">
        <v>112</v>
      </c>
      <c r="V284" s="3" t="s">
        <v>55</v>
      </c>
      <c r="W284" s="3" t="s">
        <v>32</v>
      </c>
      <c r="X284" s="3" t="s">
        <v>45</v>
      </c>
      <c r="Y284" s="3">
        <v>100221</v>
      </c>
      <c r="Z284" s="3" t="s">
        <v>131</v>
      </c>
      <c r="AA284" s="3">
        <v>100161</v>
      </c>
      <c r="AB284" s="3" t="s">
        <v>132</v>
      </c>
      <c r="AC284" s="4">
        <f ca="1">TODAY()-Open[[#This Row],[Status Date]]</f>
        <v>9</v>
      </c>
      <c r="AD284" s="3" t="s">
        <v>91</v>
      </c>
      <c r="AE284" t="str">
        <f t="shared" si="4"/>
        <v>Connor Bishop</v>
      </c>
      <c r="AF284" t="s">
        <v>1053</v>
      </c>
    </row>
    <row r="285" spans="1:32" x14ac:dyDescent="0.3">
      <c r="A285" s="3" t="s">
        <v>81</v>
      </c>
      <c r="B285" s="3" t="s">
        <v>82</v>
      </c>
      <c r="C285" s="3" t="s">
        <v>83</v>
      </c>
      <c r="D285" s="5">
        <v>46190</v>
      </c>
      <c r="E285" s="5">
        <v>46190</v>
      </c>
      <c r="F285" s="3" t="s">
        <v>69</v>
      </c>
      <c r="G285" s="3" t="s">
        <v>84</v>
      </c>
      <c r="H285" s="4">
        <v>2</v>
      </c>
      <c r="I285" s="4">
        <v>4970231</v>
      </c>
      <c r="J285" s="3" t="s">
        <v>770</v>
      </c>
      <c r="K285" s="3" t="s">
        <v>771</v>
      </c>
      <c r="L285" s="3" t="s">
        <v>772</v>
      </c>
      <c r="M285" s="5">
        <v>46143</v>
      </c>
      <c r="N285" s="3" t="s">
        <v>1007</v>
      </c>
      <c r="O285" s="3" t="s">
        <v>1008</v>
      </c>
      <c r="P285" s="3" t="s">
        <v>44</v>
      </c>
      <c r="Q285" s="6">
        <v>393.84</v>
      </c>
      <c r="R285" s="6">
        <v>393.84</v>
      </c>
      <c r="S285" s="5">
        <v>46195</v>
      </c>
      <c r="T285" s="3" t="s">
        <v>72</v>
      </c>
      <c r="U285" s="3" t="s">
        <v>112</v>
      </c>
      <c r="V285" s="3" t="s">
        <v>55</v>
      </c>
      <c r="W285" s="3" t="s">
        <v>32</v>
      </c>
      <c r="X285" s="3" t="s">
        <v>45</v>
      </c>
      <c r="Y285" s="3">
        <v>100261</v>
      </c>
      <c r="Z285" s="3" t="s">
        <v>136</v>
      </c>
      <c r="AA285" s="3">
        <v>100191</v>
      </c>
      <c r="AB285" s="3" t="s">
        <v>137</v>
      </c>
      <c r="AC285" s="4">
        <f ca="1">TODAY()-Open[[#This Row],[Status Date]]</f>
        <v>9</v>
      </c>
      <c r="AD285" s="3" t="s">
        <v>91</v>
      </c>
      <c r="AE285" t="str">
        <f t="shared" si="4"/>
        <v>Dominic Flores</v>
      </c>
      <c r="AF285" t="s">
        <v>1053</v>
      </c>
    </row>
    <row r="286" spans="1:32" x14ac:dyDescent="0.3">
      <c r="A286" s="3" t="s">
        <v>81</v>
      </c>
      <c r="B286" s="3" t="s">
        <v>82</v>
      </c>
      <c r="C286" s="3" t="s">
        <v>83</v>
      </c>
      <c r="D286" s="5">
        <v>46190</v>
      </c>
      <c r="E286" s="5">
        <v>46190</v>
      </c>
      <c r="F286" s="3" t="s">
        <v>69</v>
      </c>
      <c r="G286" s="3" t="s">
        <v>84</v>
      </c>
      <c r="H286" s="4">
        <v>2</v>
      </c>
      <c r="I286" s="4">
        <v>4970509</v>
      </c>
      <c r="J286" s="3" t="s">
        <v>773</v>
      </c>
      <c r="K286" s="3" t="s">
        <v>774</v>
      </c>
      <c r="L286" s="3" t="s">
        <v>775</v>
      </c>
      <c r="M286" s="5">
        <v>46141</v>
      </c>
      <c r="N286" s="3" t="s">
        <v>1007</v>
      </c>
      <c r="O286" s="3" t="s">
        <v>1008</v>
      </c>
      <c r="P286" s="3" t="s">
        <v>44</v>
      </c>
      <c r="Q286" s="6">
        <v>2019.6</v>
      </c>
      <c r="R286" s="6">
        <v>2019.6</v>
      </c>
      <c r="S286" s="5">
        <v>46195</v>
      </c>
      <c r="T286" s="3" t="s">
        <v>72</v>
      </c>
      <c r="U286" s="3" t="s">
        <v>112</v>
      </c>
      <c r="V286" s="3" t="s">
        <v>55</v>
      </c>
      <c r="W286" s="3" t="s">
        <v>32</v>
      </c>
      <c r="X286" s="3" t="s">
        <v>45</v>
      </c>
      <c r="Y286" s="3">
        <v>100101</v>
      </c>
      <c r="Z286" s="3" t="s">
        <v>113</v>
      </c>
      <c r="AA286" s="3">
        <v>100111</v>
      </c>
      <c r="AB286" s="3" t="s">
        <v>90</v>
      </c>
      <c r="AC286" s="4">
        <f ca="1">TODAY()-Open[[#This Row],[Status Date]]</f>
        <v>9</v>
      </c>
      <c r="AD286" s="3" t="s">
        <v>91</v>
      </c>
      <c r="AE286" t="str">
        <f t="shared" si="4"/>
        <v>Andrew Ross</v>
      </c>
      <c r="AF286" t="s">
        <v>1053</v>
      </c>
    </row>
    <row r="287" spans="1:32" x14ac:dyDescent="0.3">
      <c r="A287" s="3" t="s">
        <v>81</v>
      </c>
      <c r="B287" s="3" t="s">
        <v>82</v>
      </c>
      <c r="C287" s="3" t="s">
        <v>83</v>
      </c>
      <c r="D287" s="5">
        <v>46190</v>
      </c>
      <c r="E287" s="5">
        <v>46190</v>
      </c>
      <c r="F287" s="3" t="s">
        <v>69</v>
      </c>
      <c r="G287" s="3" t="s">
        <v>84</v>
      </c>
      <c r="H287" s="4">
        <v>2</v>
      </c>
      <c r="I287" s="4">
        <v>4970787</v>
      </c>
      <c r="J287" s="3" t="s">
        <v>776</v>
      </c>
      <c r="K287" s="3" t="s">
        <v>777</v>
      </c>
      <c r="L287" s="3" t="s">
        <v>778</v>
      </c>
      <c r="M287" s="5">
        <v>46154</v>
      </c>
      <c r="N287" s="3" t="s">
        <v>1007</v>
      </c>
      <c r="O287" s="3" t="s">
        <v>1008</v>
      </c>
      <c r="P287" s="3" t="s">
        <v>44</v>
      </c>
      <c r="Q287" s="6">
        <v>485.05</v>
      </c>
      <c r="R287" s="6">
        <v>485.05</v>
      </c>
      <c r="S287" s="5">
        <v>46195</v>
      </c>
      <c r="T287" s="3" t="s">
        <v>72</v>
      </c>
      <c r="U287" s="3" t="s">
        <v>112</v>
      </c>
      <c r="V287" s="3" t="s">
        <v>55</v>
      </c>
      <c r="W287" s="3" t="s">
        <v>32</v>
      </c>
      <c r="X287" s="3" t="s">
        <v>45</v>
      </c>
      <c r="Y287" s="3">
        <v>100141</v>
      </c>
      <c r="Z287" s="3" t="s">
        <v>123</v>
      </c>
      <c r="AA287" s="3">
        <v>100121</v>
      </c>
      <c r="AB287" s="3" t="s">
        <v>103</v>
      </c>
      <c r="AC287" s="4">
        <f ca="1">TODAY()-Open[[#This Row],[Status Date]]</f>
        <v>9</v>
      </c>
      <c r="AD287" s="3" t="s">
        <v>91</v>
      </c>
      <c r="AE287" t="str">
        <f t="shared" si="4"/>
        <v>Olivia Jenkins</v>
      </c>
      <c r="AF287" t="s">
        <v>1053</v>
      </c>
    </row>
    <row r="288" spans="1:32" x14ac:dyDescent="0.3">
      <c r="A288" s="3" t="s">
        <v>81</v>
      </c>
      <c r="B288" s="3" t="s">
        <v>82</v>
      </c>
      <c r="C288" s="3" t="s">
        <v>83</v>
      </c>
      <c r="D288" s="5">
        <v>46190</v>
      </c>
      <c r="E288" s="5">
        <v>46190</v>
      </c>
      <c r="F288" s="3" t="s">
        <v>69</v>
      </c>
      <c r="G288" s="3" t="s">
        <v>84</v>
      </c>
      <c r="H288" s="4">
        <v>2</v>
      </c>
      <c r="I288" s="4">
        <v>4971066</v>
      </c>
      <c r="J288" s="3" t="s">
        <v>1033</v>
      </c>
      <c r="K288" s="3" t="s">
        <v>779</v>
      </c>
      <c r="L288" s="3" t="s">
        <v>780</v>
      </c>
      <c r="M288" s="5">
        <v>46153</v>
      </c>
      <c r="N288" s="3" t="s">
        <v>1007</v>
      </c>
      <c r="O288" s="3" t="s">
        <v>1008</v>
      </c>
      <c r="P288" s="3" t="s">
        <v>44</v>
      </c>
      <c r="Q288" s="6">
        <v>110</v>
      </c>
      <c r="R288" s="6">
        <v>110</v>
      </c>
      <c r="S288" s="5">
        <v>46195</v>
      </c>
      <c r="T288" s="3" t="s">
        <v>72</v>
      </c>
      <c r="U288" s="3" t="s">
        <v>112</v>
      </c>
      <c r="V288" s="3" t="s">
        <v>55</v>
      </c>
      <c r="W288" s="3" t="s">
        <v>32</v>
      </c>
      <c r="X288" s="3" t="s">
        <v>45</v>
      </c>
      <c r="Y288" s="3">
        <v>100181</v>
      </c>
      <c r="Z288" s="3" t="s">
        <v>127</v>
      </c>
      <c r="AA288" s="3">
        <v>100151</v>
      </c>
      <c r="AB288" s="3" t="s">
        <v>108</v>
      </c>
      <c r="AC288" s="4">
        <f ca="1">TODAY()-Open[[#This Row],[Status Date]]</f>
        <v>9</v>
      </c>
      <c r="AD288" s="3" t="s">
        <v>91</v>
      </c>
      <c r="AE288" t="str">
        <f t="shared" si="4"/>
        <v>Mason Reynolds</v>
      </c>
      <c r="AF288" t="s">
        <v>1053</v>
      </c>
    </row>
    <row r="289" spans="1:32" x14ac:dyDescent="0.3">
      <c r="A289" s="3" t="s">
        <v>81</v>
      </c>
      <c r="B289" s="3" t="s">
        <v>82</v>
      </c>
      <c r="C289" s="3" t="s">
        <v>83</v>
      </c>
      <c r="D289" s="5">
        <v>46190</v>
      </c>
      <c r="E289" s="5">
        <v>46190</v>
      </c>
      <c r="F289" s="3" t="s">
        <v>69</v>
      </c>
      <c r="G289" s="3" t="s">
        <v>84</v>
      </c>
      <c r="H289" s="4">
        <v>2</v>
      </c>
      <c r="I289" s="4">
        <v>4971344</v>
      </c>
      <c r="J289" s="3" t="s">
        <v>781</v>
      </c>
      <c r="K289" s="3" t="s">
        <v>782</v>
      </c>
      <c r="L289" s="3" t="s">
        <v>783</v>
      </c>
      <c r="M289" s="5">
        <v>46150</v>
      </c>
      <c r="N289" s="3" t="s">
        <v>1007</v>
      </c>
      <c r="O289" s="3" t="s">
        <v>1008</v>
      </c>
      <c r="P289" s="3" t="s">
        <v>44</v>
      </c>
      <c r="Q289" s="6">
        <v>13608</v>
      </c>
      <c r="R289" s="6">
        <v>13608</v>
      </c>
      <c r="S289" s="5">
        <v>46195</v>
      </c>
      <c r="T289" s="3" t="s">
        <v>72</v>
      </c>
      <c r="U289" s="3" t="s">
        <v>112</v>
      </c>
      <c r="V289" s="3" t="s">
        <v>55</v>
      </c>
      <c r="W289" s="3" t="s">
        <v>32</v>
      </c>
      <c r="X289" s="3" t="s">
        <v>45</v>
      </c>
      <c r="Y289" s="3">
        <v>100221</v>
      </c>
      <c r="Z289" s="3" t="s">
        <v>131</v>
      </c>
      <c r="AA289" s="3">
        <v>100161</v>
      </c>
      <c r="AB289" s="3" t="s">
        <v>132</v>
      </c>
      <c r="AC289" s="4">
        <f ca="1">TODAY()-Open[[#This Row],[Status Date]]</f>
        <v>9</v>
      </c>
      <c r="AD289" s="3" t="s">
        <v>91</v>
      </c>
      <c r="AE289" t="str">
        <f t="shared" si="4"/>
        <v>Connor Bishop</v>
      </c>
      <c r="AF289" t="s">
        <v>1053</v>
      </c>
    </row>
    <row r="290" spans="1:32" x14ac:dyDescent="0.3">
      <c r="A290" s="3" t="s">
        <v>81</v>
      </c>
      <c r="B290" s="3" t="s">
        <v>82</v>
      </c>
      <c r="C290" s="3" t="s">
        <v>83</v>
      </c>
      <c r="D290" s="5">
        <v>46190</v>
      </c>
      <c r="E290" s="5">
        <v>46190</v>
      </c>
      <c r="F290" s="3" t="s">
        <v>69</v>
      </c>
      <c r="G290" s="3" t="s">
        <v>84</v>
      </c>
      <c r="H290" s="4">
        <v>2</v>
      </c>
      <c r="I290" s="4">
        <v>4971622</v>
      </c>
      <c r="J290" s="3" t="s">
        <v>1034</v>
      </c>
      <c r="K290" s="3" t="s">
        <v>784</v>
      </c>
      <c r="L290" s="3" t="s">
        <v>785</v>
      </c>
      <c r="M290" s="5">
        <v>46149</v>
      </c>
      <c r="N290" s="3" t="s">
        <v>1007</v>
      </c>
      <c r="O290" s="3" t="s">
        <v>1008</v>
      </c>
      <c r="P290" s="3" t="s">
        <v>44</v>
      </c>
      <c r="Q290" s="6">
        <v>100.8</v>
      </c>
      <c r="R290" s="6">
        <v>100.8</v>
      </c>
      <c r="S290" s="5">
        <v>46195</v>
      </c>
      <c r="T290" s="3" t="s">
        <v>72</v>
      </c>
      <c r="U290" s="3" t="s">
        <v>112</v>
      </c>
      <c r="V290" s="3" t="s">
        <v>55</v>
      </c>
      <c r="W290" s="3" t="s">
        <v>32</v>
      </c>
      <c r="X290" s="3" t="s">
        <v>45</v>
      </c>
      <c r="Y290" s="3">
        <v>100261</v>
      </c>
      <c r="Z290" s="3" t="s">
        <v>136</v>
      </c>
      <c r="AA290" s="3">
        <v>100191</v>
      </c>
      <c r="AB290" s="3" t="s">
        <v>137</v>
      </c>
      <c r="AC290" s="4">
        <f ca="1">TODAY()-Open[[#This Row],[Status Date]]</f>
        <v>9</v>
      </c>
      <c r="AD290" s="3" t="s">
        <v>91</v>
      </c>
      <c r="AE290" t="str">
        <f t="shared" si="4"/>
        <v>Dominic Flores</v>
      </c>
      <c r="AF290" t="s">
        <v>1053</v>
      </c>
    </row>
    <row r="291" spans="1:32" x14ac:dyDescent="0.3">
      <c r="A291" s="3" t="s">
        <v>81</v>
      </c>
      <c r="B291" s="3" t="s">
        <v>82</v>
      </c>
      <c r="C291" s="3" t="s">
        <v>83</v>
      </c>
      <c r="D291" s="5">
        <v>46190</v>
      </c>
      <c r="E291" s="5">
        <v>46190</v>
      </c>
      <c r="F291" s="3" t="s">
        <v>69</v>
      </c>
      <c r="G291" s="3" t="s">
        <v>84</v>
      </c>
      <c r="H291" s="4">
        <v>2</v>
      </c>
      <c r="I291" s="4">
        <v>4971900</v>
      </c>
      <c r="J291" s="3" t="s">
        <v>786</v>
      </c>
      <c r="K291" s="3" t="s">
        <v>787</v>
      </c>
      <c r="L291" s="3" t="s">
        <v>788</v>
      </c>
      <c r="M291" s="5">
        <v>46149</v>
      </c>
      <c r="N291" s="3" t="s">
        <v>1007</v>
      </c>
      <c r="O291" s="3" t="s">
        <v>1008</v>
      </c>
      <c r="P291" s="3" t="s">
        <v>44</v>
      </c>
      <c r="Q291" s="6">
        <v>137.6</v>
      </c>
      <c r="R291" s="6">
        <v>137.6</v>
      </c>
      <c r="S291" s="5">
        <v>46195</v>
      </c>
      <c r="T291" s="3" t="s">
        <v>72</v>
      </c>
      <c r="U291" s="3" t="s">
        <v>112</v>
      </c>
      <c r="V291" s="3" t="s">
        <v>55</v>
      </c>
      <c r="W291" s="3" t="s">
        <v>32</v>
      </c>
      <c r="X291" s="3" t="s">
        <v>45</v>
      </c>
      <c r="Y291" s="3">
        <v>100101</v>
      </c>
      <c r="Z291" s="3" t="s">
        <v>113</v>
      </c>
      <c r="AA291" s="3">
        <v>100111</v>
      </c>
      <c r="AB291" s="3" t="s">
        <v>90</v>
      </c>
      <c r="AC291" s="4">
        <f ca="1">TODAY()-Open[[#This Row],[Status Date]]</f>
        <v>9</v>
      </c>
      <c r="AD291" s="3" t="s">
        <v>91</v>
      </c>
      <c r="AE291" t="str">
        <f t="shared" si="4"/>
        <v>Andrew Ross</v>
      </c>
      <c r="AF291" t="s">
        <v>1053</v>
      </c>
    </row>
    <row r="292" spans="1:32" x14ac:dyDescent="0.3">
      <c r="A292" s="3" t="s">
        <v>81</v>
      </c>
      <c r="B292" s="3" t="s">
        <v>82</v>
      </c>
      <c r="C292" s="3" t="s">
        <v>83</v>
      </c>
      <c r="D292" s="5">
        <v>46190</v>
      </c>
      <c r="E292" s="5">
        <v>46190</v>
      </c>
      <c r="F292" s="3" t="s">
        <v>69</v>
      </c>
      <c r="G292" s="3" t="s">
        <v>84</v>
      </c>
      <c r="H292" s="4">
        <v>2</v>
      </c>
      <c r="I292" s="4">
        <v>4972179</v>
      </c>
      <c r="J292" s="3" t="s">
        <v>1035</v>
      </c>
      <c r="K292" s="3" t="s">
        <v>789</v>
      </c>
      <c r="L292" s="3" t="s">
        <v>790</v>
      </c>
      <c r="M292" s="5">
        <v>46139</v>
      </c>
      <c r="N292" s="3" t="s">
        <v>1007</v>
      </c>
      <c r="O292" s="3" t="s">
        <v>1008</v>
      </c>
      <c r="P292" s="3" t="s">
        <v>44</v>
      </c>
      <c r="Q292" s="6">
        <v>486</v>
      </c>
      <c r="R292" s="6">
        <v>486</v>
      </c>
      <c r="S292" s="5">
        <v>46195</v>
      </c>
      <c r="T292" s="3" t="s">
        <v>72</v>
      </c>
      <c r="U292" s="3" t="s">
        <v>112</v>
      </c>
      <c r="V292" s="3" t="s">
        <v>55</v>
      </c>
      <c r="W292" s="3" t="s">
        <v>32</v>
      </c>
      <c r="X292" s="3" t="s">
        <v>45</v>
      </c>
      <c r="Y292" s="3">
        <v>100141</v>
      </c>
      <c r="Z292" s="3" t="s">
        <v>123</v>
      </c>
      <c r="AA292" s="3">
        <v>100121</v>
      </c>
      <c r="AB292" s="3" t="s">
        <v>103</v>
      </c>
      <c r="AC292" s="4">
        <f ca="1">TODAY()-Open[[#This Row],[Status Date]]</f>
        <v>9</v>
      </c>
      <c r="AD292" s="3" t="s">
        <v>91</v>
      </c>
      <c r="AE292" t="str">
        <f t="shared" si="4"/>
        <v>Olivia Jenkins</v>
      </c>
      <c r="AF292" t="s">
        <v>1053</v>
      </c>
    </row>
    <row r="293" spans="1:32" x14ac:dyDescent="0.3">
      <c r="A293" s="3" t="s">
        <v>81</v>
      </c>
      <c r="B293" s="3" t="s">
        <v>82</v>
      </c>
      <c r="C293" s="3" t="s">
        <v>83</v>
      </c>
      <c r="D293" s="5">
        <v>46190</v>
      </c>
      <c r="E293" s="5">
        <v>46190</v>
      </c>
      <c r="F293" s="3" t="s">
        <v>69</v>
      </c>
      <c r="G293" s="3" t="s">
        <v>84</v>
      </c>
      <c r="H293" s="4">
        <v>2</v>
      </c>
      <c r="I293" s="4">
        <v>4972457</v>
      </c>
      <c r="J293" s="3" t="s">
        <v>1036</v>
      </c>
      <c r="K293" s="3" t="s">
        <v>791</v>
      </c>
      <c r="L293" s="3" t="s">
        <v>792</v>
      </c>
      <c r="M293" s="5">
        <v>46137</v>
      </c>
      <c r="N293" s="3" t="s">
        <v>1007</v>
      </c>
      <c r="O293" s="3" t="s">
        <v>1008</v>
      </c>
      <c r="P293" s="3" t="s">
        <v>44</v>
      </c>
      <c r="Q293" s="6">
        <v>8.3000000000000007</v>
      </c>
      <c r="R293" s="6">
        <v>8.3000000000000007</v>
      </c>
      <c r="S293" s="5">
        <v>46195</v>
      </c>
      <c r="T293" s="3" t="s">
        <v>72</v>
      </c>
      <c r="U293" s="3" t="s">
        <v>112</v>
      </c>
      <c r="V293" s="3" t="s">
        <v>55</v>
      </c>
      <c r="W293" s="3" t="s">
        <v>32</v>
      </c>
      <c r="X293" s="3" t="s">
        <v>45</v>
      </c>
      <c r="Y293" s="3">
        <v>100181</v>
      </c>
      <c r="Z293" s="3" t="s">
        <v>127</v>
      </c>
      <c r="AA293" s="3">
        <v>100151</v>
      </c>
      <c r="AB293" s="3" t="s">
        <v>108</v>
      </c>
      <c r="AC293" s="4">
        <f ca="1">TODAY()-Open[[#This Row],[Status Date]]</f>
        <v>9</v>
      </c>
      <c r="AD293" s="3" t="s">
        <v>91</v>
      </c>
      <c r="AE293" t="str">
        <f t="shared" si="4"/>
        <v>Mason Reynolds</v>
      </c>
      <c r="AF293" t="s">
        <v>1053</v>
      </c>
    </row>
    <row r="294" spans="1:32" x14ac:dyDescent="0.3">
      <c r="A294" s="3" t="s">
        <v>81</v>
      </c>
      <c r="B294" s="3" t="s">
        <v>82</v>
      </c>
      <c r="C294" s="3" t="s">
        <v>83</v>
      </c>
      <c r="D294" s="5">
        <v>46190</v>
      </c>
      <c r="E294" s="5">
        <v>46190</v>
      </c>
      <c r="F294" s="3" t="s">
        <v>69</v>
      </c>
      <c r="G294" s="3" t="s">
        <v>84</v>
      </c>
      <c r="H294" s="4">
        <v>2</v>
      </c>
      <c r="I294" s="4">
        <v>4972735</v>
      </c>
      <c r="J294" s="3" t="s">
        <v>793</v>
      </c>
      <c r="K294" s="3" t="s">
        <v>794</v>
      </c>
      <c r="L294" s="3" t="s">
        <v>795</v>
      </c>
      <c r="M294" s="5">
        <v>46161</v>
      </c>
      <c r="N294" s="3" t="s">
        <v>1007</v>
      </c>
      <c r="O294" s="3" t="s">
        <v>1008</v>
      </c>
      <c r="P294" s="3" t="s">
        <v>44</v>
      </c>
      <c r="Q294" s="6">
        <v>3410</v>
      </c>
      <c r="R294" s="6">
        <v>3410</v>
      </c>
      <c r="S294" s="5">
        <v>46195</v>
      </c>
      <c r="T294" s="3" t="s">
        <v>72</v>
      </c>
      <c r="U294" s="3" t="s">
        <v>112</v>
      </c>
      <c r="V294" s="3" t="s">
        <v>55</v>
      </c>
      <c r="W294" s="3" t="s">
        <v>32</v>
      </c>
      <c r="X294" s="3" t="s">
        <v>45</v>
      </c>
      <c r="Y294" s="3">
        <v>100221</v>
      </c>
      <c r="Z294" s="3" t="s">
        <v>131</v>
      </c>
      <c r="AA294" s="3">
        <v>100161</v>
      </c>
      <c r="AB294" s="3" t="s">
        <v>132</v>
      </c>
      <c r="AC294" s="4">
        <f ca="1">TODAY()-Open[[#This Row],[Status Date]]</f>
        <v>9</v>
      </c>
      <c r="AD294" s="3" t="s">
        <v>91</v>
      </c>
      <c r="AE294" t="str">
        <f t="shared" si="4"/>
        <v>Connor Bishop</v>
      </c>
      <c r="AF294" t="s">
        <v>1053</v>
      </c>
    </row>
    <row r="295" spans="1:32" x14ac:dyDescent="0.3">
      <c r="A295" s="3" t="s">
        <v>81</v>
      </c>
      <c r="B295" s="3" t="s">
        <v>82</v>
      </c>
      <c r="C295" s="3" t="s">
        <v>83</v>
      </c>
      <c r="D295" s="5">
        <v>46190</v>
      </c>
      <c r="E295" s="5">
        <v>46190</v>
      </c>
      <c r="F295" s="3" t="s">
        <v>69</v>
      </c>
      <c r="G295" s="3" t="s">
        <v>84</v>
      </c>
      <c r="H295" s="4">
        <v>2</v>
      </c>
      <c r="I295" s="4">
        <v>4973014</v>
      </c>
      <c r="J295" s="3" t="s">
        <v>1037</v>
      </c>
      <c r="K295" s="3" t="s">
        <v>797</v>
      </c>
      <c r="L295" s="3" t="s">
        <v>798</v>
      </c>
      <c r="M295" s="5">
        <v>46161</v>
      </c>
      <c r="N295" s="3" t="s">
        <v>1007</v>
      </c>
      <c r="O295" s="3" t="s">
        <v>1008</v>
      </c>
      <c r="P295" s="3" t="s">
        <v>44</v>
      </c>
      <c r="Q295" s="6">
        <v>129.88999999999999</v>
      </c>
      <c r="R295" s="6">
        <v>129.88999999999999</v>
      </c>
      <c r="S295" s="5">
        <v>46195</v>
      </c>
      <c r="T295" s="3" t="s">
        <v>72</v>
      </c>
      <c r="U295" s="3" t="s">
        <v>112</v>
      </c>
      <c r="V295" s="3" t="s">
        <v>55</v>
      </c>
      <c r="W295" s="3" t="s">
        <v>32</v>
      </c>
      <c r="X295" s="3" t="s">
        <v>45</v>
      </c>
      <c r="Y295" s="3">
        <v>100261</v>
      </c>
      <c r="Z295" s="3" t="s">
        <v>136</v>
      </c>
      <c r="AA295" s="3">
        <v>100191</v>
      </c>
      <c r="AB295" s="3" t="s">
        <v>137</v>
      </c>
      <c r="AC295" s="4">
        <f ca="1">TODAY()-Open[[#This Row],[Status Date]]</f>
        <v>9</v>
      </c>
      <c r="AD295" s="3" t="s">
        <v>91</v>
      </c>
      <c r="AE295" t="str">
        <f t="shared" si="4"/>
        <v>Dominic Flores</v>
      </c>
      <c r="AF295" t="s">
        <v>1053</v>
      </c>
    </row>
    <row r="296" spans="1:32" x14ac:dyDescent="0.3">
      <c r="A296" s="3" t="s">
        <v>81</v>
      </c>
      <c r="B296" s="3" t="s">
        <v>82</v>
      </c>
      <c r="C296" s="3" t="s">
        <v>83</v>
      </c>
      <c r="D296" s="5">
        <v>46190</v>
      </c>
      <c r="E296" s="5">
        <v>46190</v>
      </c>
      <c r="F296" s="3" t="s">
        <v>69</v>
      </c>
      <c r="G296" s="3" t="s">
        <v>84</v>
      </c>
      <c r="H296" s="4">
        <v>2</v>
      </c>
      <c r="I296" s="4">
        <v>4973292</v>
      </c>
      <c r="J296" s="3" t="s">
        <v>1038</v>
      </c>
      <c r="K296" s="3" t="s">
        <v>799</v>
      </c>
      <c r="L296" s="3" t="s">
        <v>800</v>
      </c>
      <c r="M296" s="5">
        <v>46157</v>
      </c>
      <c r="N296" s="3" t="s">
        <v>1007</v>
      </c>
      <c r="O296" s="3" t="s">
        <v>1008</v>
      </c>
      <c r="P296" s="3" t="s">
        <v>44</v>
      </c>
      <c r="Q296" s="6">
        <v>17.670000000000002</v>
      </c>
      <c r="R296" s="6">
        <v>17.670000000000002</v>
      </c>
      <c r="S296" s="5">
        <v>46195</v>
      </c>
      <c r="T296" s="3" t="s">
        <v>72</v>
      </c>
      <c r="U296" s="3" t="s">
        <v>112</v>
      </c>
      <c r="V296" s="3" t="s">
        <v>55</v>
      </c>
      <c r="W296" s="3" t="s">
        <v>32</v>
      </c>
      <c r="X296" s="3" t="s">
        <v>45</v>
      </c>
      <c r="Y296" s="3">
        <v>100101</v>
      </c>
      <c r="Z296" s="3" t="s">
        <v>113</v>
      </c>
      <c r="AA296" s="3">
        <v>100111</v>
      </c>
      <c r="AB296" s="3" t="s">
        <v>90</v>
      </c>
      <c r="AC296" s="4">
        <f ca="1">TODAY()-Open[[#This Row],[Status Date]]</f>
        <v>9</v>
      </c>
      <c r="AD296" s="3" t="s">
        <v>91</v>
      </c>
      <c r="AE296" t="str">
        <f t="shared" si="4"/>
        <v>Andrew Ross</v>
      </c>
      <c r="AF296" t="s">
        <v>1053</v>
      </c>
    </row>
    <row r="297" spans="1:32" x14ac:dyDescent="0.3">
      <c r="A297" s="3" t="s">
        <v>81</v>
      </c>
      <c r="B297" s="3" t="s">
        <v>82</v>
      </c>
      <c r="C297" s="3" t="s">
        <v>83</v>
      </c>
      <c r="D297" s="5">
        <v>46190</v>
      </c>
      <c r="E297" s="5">
        <v>46190</v>
      </c>
      <c r="F297" s="3" t="s">
        <v>69</v>
      </c>
      <c r="G297" s="3" t="s">
        <v>84</v>
      </c>
      <c r="H297" s="4">
        <v>2</v>
      </c>
      <c r="I297" s="4">
        <v>4973570</v>
      </c>
      <c r="J297" s="3" t="s">
        <v>1039</v>
      </c>
      <c r="K297" s="3" t="s">
        <v>801</v>
      </c>
      <c r="L297" s="3" t="s">
        <v>802</v>
      </c>
      <c r="M297" s="5">
        <v>46157</v>
      </c>
      <c r="N297" s="3" t="s">
        <v>1007</v>
      </c>
      <c r="O297" s="3" t="s">
        <v>1008</v>
      </c>
      <c r="P297" s="3" t="s">
        <v>44</v>
      </c>
      <c r="Q297" s="6">
        <v>50.01</v>
      </c>
      <c r="R297" s="6">
        <v>50.01</v>
      </c>
      <c r="S297" s="5">
        <v>46195</v>
      </c>
      <c r="T297" s="3" t="s">
        <v>72</v>
      </c>
      <c r="U297" s="3" t="s">
        <v>112</v>
      </c>
      <c r="V297" s="3" t="s">
        <v>55</v>
      </c>
      <c r="W297" s="3" t="s">
        <v>32</v>
      </c>
      <c r="X297" s="3" t="s">
        <v>45</v>
      </c>
      <c r="Y297" s="3">
        <v>100141</v>
      </c>
      <c r="Z297" s="3" t="s">
        <v>123</v>
      </c>
      <c r="AA297" s="3">
        <v>100121</v>
      </c>
      <c r="AB297" s="3" t="s">
        <v>103</v>
      </c>
      <c r="AC297" s="4">
        <f ca="1">TODAY()-Open[[#This Row],[Status Date]]</f>
        <v>9</v>
      </c>
      <c r="AD297" s="3" t="s">
        <v>91</v>
      </c>
      <c r="AE297" t="str">
        <f t="shared" si="4"/>
        <v>Olivia Jenkins</v>
      </c>
      <c r="AF297" t="s">
        <v>1053</v>
      </c>
    </row>
    <row r="298" spans="1:32" x14ac:dyDescent="0.3">
      <c r="A298" s="3" t="s">
        <v>81</v>
      </c>
      <c r="B298" s="3" t="s">
        <v>82</v>
      </c>
      <c r="C298" s="3" t="s">
        <v>83</v>
      </c>
      <c r="D298" s="5">
        <v>46190</v>
      </c>
      <c r="E298" s="5">
        <v>46190</v>
      </c>
      <c r="F298" s="3" t="s">
        <v>69</v>
      </c>
      <c r="G298" s="3" t="s">
        <v>84</v>
      </c>
      <c r="H298" s="4">
        <v>2</v>
      </c>
      <c r="I298" s="4">
        <v>4973848</v>
      </c>
      <c r="J298" s="3" t="s">
        <v>803</v>
      </c>
      <c r="K298" s="3" t="s">
        <v>804</v>
      </c>
      <c r="L298" s="3" t="s">
        <v>805</v>
      </c>
      <c r="M298" s="5">
        <v>46156</v>
      </c>
      <c r="N298" s="3" t="s">
        <v>1007</v>
      </c>
      <c r="O298" s="3" t="s">
        <v>1008</v>
      </c>
      <c r="P298" s="3" t="s">
        <v>44</v>
      </c>
      <c r="Q298" s="6">
        <v>584.5</v>
      </c>
      <c r="R298" s="6">
        <v>584.5</v>
      </c>
      <c r="S298" s="5">
        <v>46195</v>
      </c>
      <c r="T298" s="3" t="s">
        <v>72</v>
      </c>
      <c r="U298" s="3" t="s">
        <v>112</v>
      </c>
      <c r="V298" s="3" t="s">
        <v>55</v>
      </c>
      <c r="W298" s="3" t="s">
        <v>32</v>
      </c>
      <c r="X298" s="3" t="s">
        <v>45</v>
      </c>
      <c r="Y298" s="3">
        <v>100181</v>
      </c>
      <c r="Z298" s="3" t="s">
        <v>127</v>
      </c>
      <c r="AA298" s="3">
        <v>100151</v>
      </c>
      <c r="AB298" s="3" t="s">
        <v>108</v>
      </c>
      <c r="AC298" s="4">
        <f ca="1">TODAY()-Open[[#This Row],[Status Date]]</f>
        <v>9</v>
      </c>
      <c r="AD298" s="3" t="s">
        <v>91</v>
      </c>
      <c r="AE298" t="str">
        <f t="shared" si="4"/>
        <v>Mason Reynolds</v>
      </c>
      <c r="AF298" t="s">
        <v>1053</v>
      </c>
    </row>
    <row r="299" spans="1:32" x14ac:dyDescent="0.3">
      <c r="A299" s="3" t="s">
        <v>81</v>
      </c>
      <c r="B299" s="3" t="s">
        <v>82</v>
      </c>
      <c r="C299" s="3" t="s">
        <v>83</v>
      </c>
      <c r="D299" s="5">
        <v>46190</v>
      </c>
      <c r="E299" s="5">
        <v>46190</v>
      </c>
      <c r="F299" s="3" t="s">
        <v>69</v>
      </c>
      <c r="G299" s="3" t="s">
        <v>84</v>
      </c>
      <c r="H299" s="4">
        <v>2</v>
      </c>
      <c r="I299" s="4">
        <v>4974127</v>
      </c>
      <c r="J299" s="3" t="s">
        <v>806</v>
      </c>
      <c r="K299" s="3" t="s">
        <v>807</v>
      </c>
      <c r="L299" s="3" t="s">
        <v>808</v>
      </c>
      <c r="M299" s="5">
        <v>46156</v>
      </c>
      <c r="N299" s="3" t="s">
        <v>1007</v>
      </c>
      <c r="O299" s="3" t="s">
        <v>1008</v>
      </c>
      <c r="P299" s="3" t="s">
        <v>44</v>
      </c>
      <c r="Q299" s="6">
        <v>341.44</v>
      </c>
      <c r="R299" s="6">
        <v>341.44</v>
      </c>
      <c r="S299" s="5">
        <v>46195</v>
      </c>
      <c r="T299" s="3" t="s">
        <v>72</v>
      </c>
      <c r="U299" s="3" t="s">
        <v>112</v>
      </c>
      <c r="V299" s="3" t="s">
        <v>55</v>
      </c>
      <c r="W299" s="3" t="s">
        <v>32</v>
      </c>
      <c r="X299" s="3" t="s">
        <v>45</v>
      </c>
      <c r="Y299" s="3">
        <v>100221</v>
      </c>
      <c r="Z299" s="3" t="s">
        <v>131</v>
      </c>
      <c r="AA299" s="3">
        <v>100161</v>
      </c>
      <c r="AB299" s="3" t="s">
        <v>132</v>
      </c>
      <c r="AC299" s="4">
        <f ca="1">TODAY()-Open[[#This Row],[Status Date]]</f>
        <v>9</v>
      </c>
      <c r="AD299" s="3" t="s">
        <v>91</v>
      </c>
      <c r="AE299" t="str">
        <f t="shared" si="4"/>
        <v>Connor Bishop</v>
      </c>
      <c r="AF299" t="s">
        <v>1053</v>
      </c>
    </row>
    <row r="300" spans="1:32" x14ac:dyDescent="0.3">
      <c r="A300" s="3" t="s">
        <v>81</v>
      </c>
      <c r="B300" s="3" t="s">
        <v>82</v>
      </c>
      <c r="C300" s="3" t="s">
        <v>83</v>
      </c>
      <c r="D300" s="5">
        <v>46190</v>
      </c>
      <c r="E300" s="5">
        <v>46190</v>
      </c>
      <c r="F300" s="3" t="s">
        <v>69</v>
      </c>
      <c r="G300" s="3" t="s">
        <v>84</v>
      </c>
      <c r="H300" s="4">
        <v>2</v>
      </c>
      <c r="I300" s="4">
        <v>4974405</v>
      </c>
      <c r="J300" s="3" t="s">
        <v>809</v>
      </c>
      <c r="K300" s="3" t="s">
        <v>810</v>
      </c>
      <c r="L300" s="3" t="s">
        <v>811</v>
      </c>
      <c r="M300" s="5">
        <v>46154</v>
      </c>
      <c r="N300" s="3" t="s">
        <v>1007</v>
      </c>
      <c r="O300" s="3" t="s">
        <v>1008</v>
      </c>
      <c r="P300" s="3" t="s">
        <v>44</v>
      </c>
      <c r="Q300" s="6">
        <v>74.48</v>
      </c>
      <c r="R300" s="6">
        <v>74.48</v>
      </c>
      <c r="S300" s="5">
        <v>46195</v>
      </c>
      <c r="T300" s="3" t="s">
        <v>72</v>
      </c>
      <c r="U300" s="3" t="s">
        <v>112</v>
      </c>
      <c r="V300" s="3" t="s">
        <v>55</v>
      </c>
      <c r="W300" s="3" t="s">
        <v>32</v>
      </c>
      <c r="X300" s="3" t="s">
        <v>45</v>
      </c>
      <c r="Y300" s="3">
        <v>100261</v>
      </c>
      <c r="Z300" s="3" t="s">
        <v>136</v>
      </c>
      <c r="AA300" s="3">
        <v>100191</v>
      </c>
      <c r="AB300" s="3" t="s">
        <v>137</v>
      </c>
      <c r="AC300" s="4">
        <f ca="1">TODAY()-Open[[#This Row],[Status Date]]</f>
        <v>9</v>
      </c>
      <c r="AD300" s="3" t="s">
        <v>91</v>
      </c>
      <c r="AE300" t="str">
        <f t="shared" si="4"/>
        <v>Dominic Flores</v>
      </c>
      <c r="AF300" t="s">
        <v>1053</v>
      </c>
    </row>
    <row r="301" spans="1:32" x14ac:dyDescent="0.3">
      <c r="A301" s="3" t="s">
        <v>81</v>
      </c>
      <c r="B301" s="3" t="s">
        <v>82</v>
      </c>
      <c r="C301" s="3" t="s">
        <v>83</v>
      </c>
      <c r="D301" s="5">
        <v>46190</v>
      </c>
      <c r="E301" s="5">
        <v>46190</v>
      </c>
      <c r="F301" s="3" t="s">
        <v>69</v>
      </c>
      <c r="G301" s="3" t="s">
        <v>84</v>
      </c>
      <c r="H301" s="4">
        <v>2</v>
      </c>
      <c r="I301" s="4">
        <v>4974683</v>
      </c>
      <c r="J301" s="3" t="s">
        <v>812</v>
      </c>
      <c r="K301" s="3" t="s">
        <v>813</v>
      </c>
      <c r="L301" s="3" t="s">
        <v>814</v>
      </c>
      <c r="M301" s="5">
        <v>46161</v>
      </c>
      <c r="N301" s="3" t="s">
        <v>1007</v>
      </c>
      <c r="O301" s="3" t="s">
        <v>1008</v>
      </c>
      <c r="P301" s="3" t="s">
        <v>44</v>
      </c>
      <c r="Q301" s="6">
        <v>487.08</v>
      </c>
      <c r="R301" s="6">
        <v>487.08</v>
      </c>
      <c r="S301" s="5">
        <v>46195</v>
      </c>
      <c r="T301" s="3" t="s">
        <v>72</v>
      </c>
      <c r="U301" s="3" t="s">
        <v>112</v>
      </c>
      <c r="V301" s="3" t="s">
        <v>55</v>
      </c>
      <c r="W301" s="3" t="s">
        <v>32</v>
      </c>
      <c r="X301" s="3" t="s">
        <v>45</v>
      </c>
      <c r="Y301" s="3">
        <v>100101</v>
      </c>
      <c r="Z301" s="3" t="s">
        <v>113</v>
      </c>
      <c r="AA301" s="3">
        <v>100111</v>
      </c>
      <c r="AB301" s="3" t="s">
        <v>90</v>
      </c>
      <c r="AC301" s="4">
        <f ca="1">TODAY()-Open[[#This Row],[Status Date]]</f>
        <v>9</v>
      </c>
      <c r="AD301" s="3" t="s">
        <v>91</v>
      </c>
      <c r="AE301" t="str">
        <f t="shared" si="4"/>
        <v>Andrew Ross</v>
      </c>
      <c r="AF301" t="s">
        <v>1053</v>
      </c>
    </row>
    <row r="302" spans="1:32" x14ac:dyDescent="0.3">
      <c r="A302" s="3" t="s">
        <v>81</v>
      </c>
      <c r="B302" s="3" t="s">
        <v>82</v>
      </c>
      <c r="C302" s="3" t="s">
        <v>83</v>
      </c>
      <c r="D302" s="5">
        <v>46190</v>
      </c>
      <c r="E302" s="5">
        <v>46190</v>
      </c>
      <c r="F302" s="3" t="s">
        <v>69</v>
      </c>
      <c r="G302" s="3" t="s">
        <v>84</v>
      </c>
      <c r="H302" s="4">
        <v>2</v>
      </c>
      <c r="I302" s="4">
        <v>4974962</v>
      </c>
      <c r="J302" s="3" t="s">
        <v>1040</v>
      </c>
      <c r="K302" s="3" t="s">
        <v>815</v>
      </c>
      <c r="L302" s="3" t="s">
        <v>816</v>
      </c>
      <c r="M302" s="5">
        <v>46156</v>
      </c>
      <c r="N302" s="3" t="s">
        <v>1007</v>
      </c>
      <c r="O302" s="3" t="s">
        <v>1008</v>
      </c>
      <c r="P302" s="3" t="s">
        <v>44</v>
      </c>
      <c r="Q302" s="6">
        <v>4256.99</v>
      </c>
      <c r="R302" s="6">
        <v>4256.99</v>
      </c>
      <c r="S302" s="5">
        <v>46195</v>
      </c>
      <c r="T302" s="3" t="s">
        <v>72</v>
      </c>
      <c r="U302" s="3" t="s">
        <v>112</v>
      </c>
      <c r="V302" s="3" t="s">
        <v>55</v>
      </c>
      <c r="W302" s="3" t="s">
        <v>32</v>
      </c>
      <c r="X302" s="3" t="s">
        <v>45</v>
      </c>
      <c r="Y302" s="3">
        <v>100141</v>
      </c>
      <c r="Z302" s="3" t="s">
        <v>123</v>
      </c>
      <c r="AA302" s="3">
        <v>100121</v>
      </c>
      <c r="AB302" s="3" t="s">
        <v>103</v>
      </c>
      <c r="AC302" s="4">
        <f ca="1">TODAY()-Open[[#This Row],[Status Date]]</f>
        <v>9</v>
      </c>
      <c r="AD302" s="3" t="s">
        <v>91</v>
      </c>
      <c r="AE302" t="str">
        <f t="shared" si="4"/>
        <v>Olivia Jenkins</v>
      </c>
      <c r="AF302" t="s">
        <v>1053</v>
      </c>
    </row>
    <row r="303" spans="1:32" x14ac:dyDescent="0.3">
      <c r="A303" s="3" t="s">
        <v>81</v>
      </c>
      <c r="B303" s="3" t="s">
        <v>82</v>
      </c>
      <c r="C303" s="3" t="s">
        <v>83</v>
      </c>
      <c r="D303" s="5">
        <v>46190</v>
      </c>
      <c r="E303" s="5">
        <v>46190</v>
      </c>
      <c r="F303" s="3" t="s">
        <v>69</v>
      </c>
      <c r="G303" s="3" t="s">
        <v>84</v>
      </c>
      <c r="H303" s="4">
        <v>2</v>
      </c>
      <c r="I303" s="4">
        <v>4975240</v>
      </c>
      <c r="J303" s="3" t="s">
        <v>1041</v>
      </c>
      <c r="K303" s="3" t="s">
        <v>817</v>
      </c>
      <c r="L303" s="3" t="s">
        <v>818</v>
      </c>
      <c r="M303" s="5">
        <v>46157</v>
      </c>
      <c r="N303" s="3" t="s">
        <v>1007</v>
      </c>
      <c r="O303" s="3" t="s">
        <v>1008</v>
      </c>
      <c r="P303" s="3" t="s">
        <v>44</v>
      </c>
      <c r="Q303" s="6">
        <v>11871.96</v>
      </c>
      <c r="R303" s="6">
        <v>11871.96</v>
      </c>
      <c r="S303" s="5">
        <v>46195</v>
      </c>
      <c r="T303" s="3" t="s">
        <v>72</v>
      </c>
      <c r="U303" s="3" t="s">
        <v>112</v>
      </c>
      <c r="V303" s="3" t="s">
        <v>55</v>
      </c>
      <c r="W303" s="3" t="s">
        <v>32</v>
      </c>
      <c r="X303" s="3" t="s">
        <v>45</v>
      </c>
      <c r="Y303" s="3">
        <v>100181</v>
      </c>
      <c r="Z303" s="3" t="s">
        <v>127</v>
      </c>
      <c r="AA303" s="3">
        <v>100151</v>
      </c>
      <c r="AB303" s="3" t="s">
        <v>108</v>
      </c>
      <c r="AC303" s="4">
        <f ca="1">TODAY()-Open[[#This Row],[Status Date]]</f>
        <v>9</v>
      </c>
      <c r="AD303" s="3" t="s">
        <v>91</v>
      </c>
      <c r="AE303" t="str">
        <f t="shared" si="4"/>
        <v>Mason Reynolds</v>
      </c>
      <c r="AF303" t="s">
        <v>1053</v>
      </c>
    </row>
    <row r="304" spans="1:32" x14ac:dyDescent="0.3">
      <c r="A304" s="3" t="s">
        <v>81</v>
      </c>
      <c r="B304" s="3" t="s">
        <v>82</v>
      </c>
      <c r="C304" s="3" t="s">
        <v>83</v>
      </c>
      <c r="D304" s="5">
        <v>46190</v>
      </c>
      <c r="E304" s="5">
        <v>46190</v>
      </c>
      <c r="F304" s="3" t="s">
        <v>69</v>
      </c>
      <c r="G304" s="3" t="s">
        <v>84</v>
      </c>
      <c r="H304" s="4">
        <v>2</v>
      </c>
      <c r="I304" s="4">
        <v>4975518</v>
      </c>
      <c r="J304" s="3" t="s">
        <v>819</v>
      </c>
      <c r="K304" s="3" t="s">
        <v>820</v>
      </c>
      <c r="L304" s="3" t="s">
        <v>821</v>
      </c>
      <c r="M304" s="5">
        <v>46155</v>
      </c>
      <c r="N304" s="3" t="s">
        <v>1007</v>
      </c>
      <c r="O304" s="3" t="s">
        <v>1008</v>
      </c>
      <c r="P304" s="3" t="s">
        <v>44</v>
      </c>
      <c r="Q304" s="6">
        <v>369.36</v>
      </c>
      <c r="R304" s="6">
        <v>369.36</v>
      </c>
      <c r="S304" s="5">
        <v>46195</v>
      </c>
      <c r="T304" s="3" t="s">
        <v>72</v>
      </c>
      <c r="U304" s="3" t="s">
        <v>112</v>
      </c>
      <c r="V304" s="3" t="s">
        <v>55</v>
      </c>
      <c r="W304" s="3" t="s">
        <v>32</v>
      </c>
      <c r="X304" s="3" t="s">
        <v>45</v>
      </c>
      <c r="Y304" s="3">
        <v>100221</v>
      </c>
      <c r="Z304" s="3" t="s">
        <v>131</v>
      </c>
      <c r="AA304" s="3">
        <v>100161</v>
      </c>
      <c r="AB304" s="3" t="s">
        <v>132</v>
      </c>
      <c r="AC304" s="4">
        <f ca="1">TODAY()-Open[[#This Row],[Status Date]]</f>
        <v>9</v>
      </c>
      <c r="AD304" s="3" t="s">
        <v>91</v>
      </c>
      <c r="AE304" t="str">
        <f t="shared" si="4"/>
        <v>Connor Bishop</v>
      </c>
      <c r="AF304" t="s">
        <v>1053</v>
      </c>
    </row>
    <row r="305" spans="1:32" x14ac:dyDescent="0.3">
      <c r="A305" s="3" t="s">
        <v>81</v>
      </c>
      <c r="B305" s="3" t="s">
        <v>82</v>
      </c>
      <c r="C305" s="3" t="s">
        <v>83</v>
      </c>
      <c r="D305" s="5">
        <v>46191</v>
      </c>
      <c r="E305" s="5">
        <v>46191</v>
      </c>
      <c r="F305" s="3" t="s">
        <v>69</v>
      </c>
      <c r="G305" s="3" t="s">
        <v>84</v>
      </c>
      <c r="H305" s="4">
        <v>1</v>
      </c>
      <c r="I305" s="4">
        <v>4975796</v>
      </c>
      <c r="J305" s="3" t="s">
        <v>1042</v>
      </c>
      <c r="K305" s="3" t="s">
        <v>822</v>
      </c>
      <c r="L305" s="3" t="s">
        <v>823</v>
      </c>
      <c r="M305" s="5">
        <v>46189</v>
      </c>
      <c r="N305" s="3" t="s">
        <v>1043</v>
      </c>
      <c r="O305" s="3" t="s">
        <v>1044</v>
      </c>
      <c r="P305" s="3" t="s">
        <v>44</v>
      </c>
      <c r="Q305" s="6">
        <v>2000</v>
      </c>
      <c r="R305" s="6">
        <v>2000</v>
      </c>
      <c r="S305" s="5">
        <v>46195</v>
      </c>
      <c r="T305" s="3" t="s">
        <v>72</v>
      </c>
      <c r="U305" s="3" t="s">
        <v>112</v>
      </c>
      <c r="V305" s="3" t="s">
        <v>55</v>
      </c>
      <c r="W305" s="3" t="s">
        <v>32</v>
      </c>
      <c r="X305" s="3" t="s">
        <v>45</v>
      </c>
      <c r="Y305" s="3">
        <v>100261</v>
      </c>
      <c r="Z305" s="3" t="s">
        <v>136</v>
      </c>
      <c r="AA305" s="3">
        <v>100191</v>
      </c>
      <c r="AB305" s="3" t="s">
        <v>137</v>
      </c>
      <c r="AC305" s="4">
        <f ca="1">TODAY()-Open[[#This Row],[Status Date]]</f>
        <v>9</v>
      </c>
      <c r="AD305" s="3" t="s">
        <v>91</v>
      </c>
      <c r="AE305" t="str">
        <f t="shared" si="4"/>
        <v>Dominic Flores</v>
      </c>
      <c r="AF305" t="s">
        <v>1053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Manager</vt:lpstr>
      <vt:lpstr>Data</vt:lpstr>
      <vt:lpstr>Pivot</vt:lpstr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2026-07-01T16:54:26Z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